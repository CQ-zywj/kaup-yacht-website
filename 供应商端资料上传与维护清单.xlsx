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640" activeTab="1"/>
  </bookViews>
  <sheets>
    <sheet name="总览统计" sheetId="1" r:id="rId1"/>
    <sheet name="资料上传总清单" sheetId="2" r:id="rId2"/>
    <sheet name="产品字段清单" sheetId="3" r:id="rId3"/>
    <sheet name="类目合规矩阵" sheetId="4" r:id="rId4"/>
    <sheet name="说明" sheetId="5" r:id="rId5"/>
  </sheets>
  <definedNames>
    <definedName name="_xlnm._FilterDatabase" localSheetId="1" hidden="1">资料上传总清单!$A$1:$M$83</definedName>
    <definedName name="_xlnm._FilterDatabase" localSheetId="2" hidden="1">产品字段清单!$A$1:$J$112</definedName>
    <definedName name="_xlnm._FilterDatabase" localSheetId="3" hidden="1">类目合规矩阵!$A$1:$L$18</definedName>
    <definedName name="_xlnm.Print_Titles" localSheetId="1">资料上传总清单!$1:$1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<sst xmlns="http://schemas.openxmlformats.org/spreadsheetml/2006/main" count="2309" uniqueCount="997">
  <si>
    <t>出海 B2B 平台 · 供应商端资料上传与维护清单（总览）</t>
  </si>
  <si>
    <t>依据《供应商端页面划分与资料上传机制调研》与《前端静态原型 PRD— 跨境 B2B 平台》整理；统计口径引用《资料上传总清单》明细，共 83 项。必填占比 = （必填 + 类目强制）/ 资料项数。</t>
  </si>
  <si>
    <t>资料类别</t>
  </si>
  <si>
    <t>资料项数</t>
  </si>
  <si>
    <t>必填</t>
  </si>
  <si>
    <t>类目强制</t>
  </si>
  <si>
    <t>推荐 / 选填 / 系统</t>
  </si>
  <si>
    <t>必填占比</t>
  </si>
  <si>
    <t>主要维护页面</t>
  </si>
  <si>
    <t>企业主体与账号</t>
  </si>
  <si>
    <t>3.2 入驻注册（发品前置）</t>
  </si>
  <si>
    <t>公司介绍</t>
  </si>
  <si>
    <t>3.3 公司信息 / 3.7 店铺主页</t>
  </si>
  <si>
    <t>产品资料</t>
  </si>
  <si>
    <t>2.4 商品发布 / 3.4 我的商品</t>
  </si>
  <si>
    <t>认证与资质</t>
  </si>
  <si>
    <t>3.9 认证与资质</t>
  </si>
  <si>
    <t>内容资讯</t>
  </si>
  <si>
    <t>3.10 内容中心</t>
  </si>
  <si>
    <t>素材库</t>
  </si>
  <si>
    <t>3.11 素材库</t>
  </si>
  <si>
    <t>合计</t>
  </si>
  <si>
    <t>全部供应商上传资料</t>
  </si>
  <si>
    <t>所属模块（PRD 页面）</t>
  </si>
  <si>
    <t>模块定位</t>
  </si>
  <si>
    <t>3.2 供应商注册 / 入驻</t>
  </si>
  <si>
    <t>入驻表单与账号体系，发品前置门槛</t>
  </si>
  <si>
    <t>3.3 公司信息</t>
  </si>
  <si>
    <t>店铺门面与信任背书的数据源</t>
  </si>
  <si>
    <t>3.7 店铺主页 / 装修</t>
  </si>
  <si>
    <t>店铺主页视觉装修（本期仅预留）</t>
  </si>
  <si>
    <t>2.4 商品发布</t>
  </si>
  <si>
    <t>供给侧核心，字段级拆解见《产品字段清单》</t>
  </si>
  <si>
    <t>独立模块，证书分类 + 验真 + 关联产品</t>
  </si>
  <si>
    <t>自营销阵地，联动店铺主页新闻区</t>
  </si>
  <si>
    <t>图片/视频银行，跨页引用不重复上传</t>
  </si>
  <si>
    <t>3.6 工作台只做待办与完善度提示，本身不采集资料</t>
  </si>
  <si>
    <t>上线优先级建议（按「不做就无法闭环 → 影响转化 → 提效」排序）</t>
  </si>
  <si>
    <t>P0 必须</t>
  </si>
  <si>
    <t>企业主体（营业执照、联系人、协议签署）→ 公司信息基础字段（Logo、名称、简介、主营类目）→ 产品发布必填项（标题、类目、主图、类目参数、MOQ、交期、Incoterms、价格）→ 涂装 / 化工合规强制组</t>
  </si>
  <si>
    <t>P1 转化</t>
  </si>
  <si>
    <t>认证与资质（证书分类、有效期、验真标识、关联产品）→ 素材库 → 详情页多图与视频 → 公司实拍图墙与产能设备清单</t>
  </si>
  <si>
    <t>P2 提效</t>
  </si>
  <si>
    <t>内容中心（新闻 / 博客、侧边栏、定时发布）→ Excel 批量导入 → 店铺装修（Banner / 主题）→ 多语言版本与 HS 编码</t>
  </si>
  <si>
    <t>序号</t>
  </si>
  <si>
    <t>所属页面 / 模块</t>
  </si>
  <si>
    <t>资料项</t>
  </si>
  <si>
    <t>内容与字段要求</t>
  </si>
  <si>
    <t>是否必填</t>
  </si>
  <si>
    <t>格式要求</t>
  </si>
  <si>
    <t>数量 / 大小限制</t>
  </si>
  <si>
    <t>维护时机</t>
  </si>
  <si>
    <t>审核方式</t>
  </si>
  <si>
    <t>前台展示位置</t>
  </si>
  <si>
    <t>对标参考</t>
  </si>
  <si>
    <t>备注</t>
  </si>
  <si>
    <t>入驻申请表信息</t>
  </si>
  <si>
    <t>公司名称（中/英）、国家/地区、城市、业务类型（制造商/贸易商/代理商/服务商）、主营类目、联系人姓名/职位/邮箱/手机</t>
  </si>
  <si>
    <t>在线表单</t>
  </si>
  <si>
    <t>—</t>
  </si>
  <si>
    <t>入驻一次性</t>
  </si>
  <si>
    <t>人工审核</t>
  </si>
  <si>
    <t>店铺主页头部</t>
  </si>
  <si>
    <t>阿里入驻材料 / PRD 3.2</t>
  </si>
  <si>
    <t>注册页即采集，写入 supplier_profile</t>
  </si>
  <si>
    <t>营业执照 / 注册证明</t>
  </si>
  <si>
    <t>营业执照正本或副本扫描件，信息完整、在有效期内；境外企业提供注册证明（Certificate of Incorporation）</t>
  </si>
  <si>
    <t>JPG / PNG / PDF</t>
  </si>
  <si>
    <t>≤5MB，1–2 张</t>
  </si>
  <si>
    <t>入驻 + 每年年审</t>
  </si>
  <si>
    <t>不对外展示（平台备案）</t>
  </si>
  <si>
    <t>中国制造网（发品前置）</t>
  </si>
  <si>
    <t>未通过审核不可发布产品；法人信息以营业执照登记信息核验，不单独收取身份证影像</t>
  </si>
  <si>
    <t>联系人信息（主 / 备）</t>
  </si>
  <si>
    <t>姓名、职位、邮箱、手机、WhatsApp / WeChat（可选）</t>
  </si>
  <si>
    <t>主联系人 1 + 备用 1</t>
  </si>
  <si>
    <t>入驻 + 变更即时</t>
  </si>
  <si>
    <t>自动校验（邮箱/手机格式）</t>
  </si>
  <si>
    <t>店铺联系区（部分字段）</t>
  </si>
  <si>
    <t>中国制造网公司信息</t>
  </si>
  <si>
    <t>手机号对外展示需供应商显式勾选</t>
  </si>
  <si>
    <t>类目准入许可证</t>
  </si>
  <si>
    <t>危化品经营许可证、食品生产许可（SC）、药品生产/经营许可证、工业产品生产许可证等</t>
  </si>
  <si>
    <t>PDF</t>
  </si>
  <si>
    <t>≤10MB，1 份/证</t>
  </si>
  <si>
    <t>入驻 + 到期前 30 天更新</t>
  </si>
  <si>
    <t>店铺认证区</t>
  </si>
  <si>
    <t>ECHEMI 类目准入</t>
  </si>
  <si>
    <t>缺证不允许发布对应类目产品</t>
  </si>
  <si>
    <t>出口相关资质</t>
  </si>
  <si>
    <t>进出口经营权 / 对外贸易经营者备案、海关报关单位备案、原产地证申领能力</t>
  </si>
  <si>
    <t>推荐</t>
  </si>
  <si>
    <t>≤10MB</t>
  </si>
  <si>
    <t>入驻 + 年度更新</t>
  </si>
  <si>
    <t>环球资源第三方验真</t>
  </si>
  <si>
    <t>出海平台的差异化信任项</t>
  </si>
  <si>
    <t>平台协议与承诺声明</t>
  </si>
  <si>
    <t>供应商服务协议、产品信息真实性承诺、图片版权承诺、禁止留联系方式承诺</t>
  </si>
  <si>
    <t>电子勾选（可导出 PDF 存档）</t>
  </si>
  <si>
    <t>入驻 + 每次发布</t>
  </si>
  <si>
    <t>系统记录</t>
  </si>
  <si>
    <t>不对外展示</t>
  </si>
  <si>
    <t>阿里 / ECHEMI 发布规范</t>
  </si>
  <si>
    <t>作为违规下架与保证金处置依据</t>
  </si>
  <si>
    <t>子账号与权限</t>
  </si>
  <si>
    <t>运营 / 客服 / 内容三类角色账号</t>
  </si>
  <si>
    <t>选填</t>
  </si>
  <si>
    <t>≤10 个</t>
  </si>
  <si>
    <t>按需</t>
  </si>
  <si>
    <t>主账号授权</t>
  </si>
  <si>
    <t>阿里子账号 / ECHEMI</t>
  </si>
  <si>
    <t>非资料类，但影响多人协作维护</t>
  </si>
  <si>
    <t>代理 / 品牌授权链</t>
  </si>
  <si>
    <t>上游工厂授权书 + 采购合同 + 品牌授权书</t>
  </si>
  <si>
    <t>PDF（平台模板）</t>
  </si>
  <si>
    <t>≤10MB，1 套/品牌</t>
  </si>
  <si>
    <t>入驻或新增品牌时</t>
  </si>
  <si>
    <t>中国制造网（授权使用）</t>
  </si>
  <si>
    <t>贸易商/代理商必传，缺失则该品牌证书不可上架</t>
  </si>
  <si>
    <t>公司 Logo</t>
  </si>
  <si>
    <t>正方形品牌标识，透明底优先</t>
  </si>
  <si>
    <t>PNG / SVG</t>
  </si>
  <si>
    <t>≥400×400px，≤2MB</t>
  </si>
  <si>
    <t>入驻 + 变更</t>
  </si>
  <si>
    <t>自动校验（尺寸/大小）</t>
  </si>
  <si>
    <t>店铺头部、商品供应商卡</t>
  </si>
  <si>
    <t>中国制造网 Logo</t>
  </si>
  <si>
    <t>缺失时以公司首字母占位</t>
  </si>
  <si>
    <t>公司名称（中 / 英）</t>
  </si>
  <si>
    <t>中文全称与英文全称，英文名建议与官网、展会用名一致</t>
  </si>
  <si>
    <t>文本</t>
  </si>
  <si>
    <t>英文 ≤120 字符</t>
  </si>
  <si>
    <t>自动校验（与营业执照一致性）</t>
  </si>
  <si>
    <t>阿里</t>
  </si>
  <si>
    <t>英文名是海外买家的第一识别信息</t>
  </si>
  <si>
    <t>国家 / 城市 / 详细地址</t>
  </si>
  <si>
    <t>注册地与实际经营地（可分别填写）</t>
  </si>
  <si>
    <t>入驻</t>
  </si>
  <si>
    <t>自动校验（国家/城市字典）</t>
  </si>
  <si>
    <t>店铺头部、地图区</t>
  </si>
  <si>
    <t>用于买家按地域筛选</t>
  </si>
  <si>
    <t>官网 URL</t>
  </si>
  <si>
    <t>企业官网或独立站域名</t>
  </si>
  <si>
    <t>URL</t>
  </si>
  <si>
    <t>可达性校验</t>
  </si>
  <si>
    <t>店铺联系区</t>
  </si>
  <si>
    <t>无官网可留空</t>
  </si>
  <si>
    <t>业务类型</t>
  </si>
  <si>
    <t>制造商 / 贸易商 / 代理商 / 服务商</t>
  </si>
  <si>
    <t>枚举</t>
  </si>
  <si>
    <t>单选</t>
  </si>
  <si>
    <t>枚举校验</t>
  </si>
  <si>
    <t>店铺头部标签、列表筛选</t>
  </si>
  <si>
    <t>影响买家信任判断与筛选结果</t>
  </si>
  <si>
    <t>企业规模信息</t>
  </si>
  <si>
    <t>成立年份、员工规模、注册资本、厂房面积</t>
  </si>
  <si>
    <t>数字 + 枚举</t>
  </si>
  <si>
    <t>店铺信任区</t>
  </si>
  <si>
    <t>中国制造网（必填项）</t>
  </si>
  <si>
    <t>建议纳入资料完善度计分</t>
  </si>
  <si>
    <t>公司简介（中 / 英）</t>
  </si>
  <si>
    <t>企业历史、主营、产能、资质、出口经验、发展愿景</t>
  </si>
  <si>
    <t>富文本</t>
  </si>
  <si>
    <t>中文 300–500 字；英文 150–300 词</t>
  </si>
  <si>
    <t>入驻 + 每半年更新</t>
  </si>
  <si>
    <t>敏感词 + 联系方式校验</t>
  </si>
  <si>
    <t>店铺简介区、商品供应商卡</t>
  </si>
  <si>
    <t>中国制造网（≥400 字符）</t>
  </si>
  <si>
    <t>禁留电话/邮箱/网址/二维码</t>
  </si>
  <si>
    <t>主营类目</t>
  </si>
  <si>
    <t>与平台一级类目一致，建议 3–10 个</t>
  </si>
  <si>
    <t>多选枚举</t>
  </si>
  <si>
    <t>1–10 个</t>
  </si>
  <si>
    <t>店铺头部标签</t>
  </si>
  <si>
    <t>中国制造网（建议 ≥3）</t>
  </si>
  <si>
    <t>与产品发布类目联动，超出类目需先补资质</t>
  </si>
  <si>
    <t>核心产品线 / 关键词</t>
  </si>
  <si>
    <t>主推产品线名称与英文关键词</t>
  </si>
  <si>
    <t>店铺简介、SEO</t>
  </si>
  <si>
    <t>用于站内搜索与相关推荐</t>
  </si>
  <si>
    <t>工厂 / 办公实拍图墙</t>
  </si>
  <si>
    <t>厂房外观、生产线、仓储、实验室、检测室、展厅</t>
  </si>
  <si>
    <t>JPG / PNG</t>
  </si>
  <si>
    <t>6–12 张，≤5MB/张</t>
  </si>
  <si>
    <t>入驻 + 按需</t>
  </si>
  <si>
    <t>图片审核（去水印/联系方式）</t>
  </si>
  <si>
    <t>阿里金品诚企</t>
  </si>
  <si>
    <t>无实拍的企业询盘转化明显偏低</t>
  </si>
  <si>
    <t>企业视频</t>
  </si>
  <si>
    <t>工厂 / 产线 / 装柜实拍，30–120 秒</t>
  </si>
  <si>
    <t>MP4（H.264）</t>
  </si>
  <si>
    <t>≤200MB</t>
  </si>
  <si>
    <t>视频审核</t>
  </si>
  <si>
    <t>阿里视频银行 / 环球资源 Upload Video</t>
  </si>
  <si>
    <t>可先入素材库再引用</t>
  </si>
  <si>
    <t>产能与设备清单</t>
  </si>
  <si>
    <t>年产能、主要生产设备、检测设备</t>
  </si>
  <si>
    <t>表格 / 富文本</t>
  </si>
  <si>
    <t>入驻 + 年度</t>
  </si>
  <si>
    <t>中国制造网</t>
  </si>
  <si>
    <t>化工 / 制造类买家重点关注</t>
  </si>
  <si>
    <t>QC / 质检流程说明</t>
  </si>
  <si>
    <t>来料、过程、出厂检验与留样制度</t>
  </si>
  <si>
    <t>与检测报告搭配展示更可信</t>
  </si>
  <si>
    <t>团队与核心人员</t>
  </si>
  <si>
    <t>创始人 / 技术负责人简介与照片</t>
  </si>
  <si>
    <t>图文</t>
  </si>
  <si>
    <t>合作案例 / 客户行业</t>
  </si>
  <si>
    <t>已服务的行业与典型项目（须脱敏）</t>
  </si>
  <si>
    <t>脱敏校验（不得出现客户名/合同价）</t>
  </si>
  <si>
    <t>涉密客户名一律打码</t>
  </si>
  <si>
    <t>参展记录</t>
  </si>
  <si>
    <t>展会名称、时间、展位照片</t>
  </si>
  <si>
    <t>店铺信任区、资讯频道</t>
  </si>
  <si>
    <t>可与平台展会资讯联动</t>
  </si>
  <si>
    <t>店铺 Banner</t>
  </si>
  <si>
    <t>主视觉轮播图，含主营类目与核心卖点</t>
  </si>
  <si>
    <t>1920×480px，≤3MB，1–3 张</t>
  </si>
  <si>
    <t>开店 + 按需</t>
  </si>
  <si>
    <t>图片审核</t>
  </si>
  <si>
    <t>店铺主页顶部</t>
  </si>
  <si>
    <t>阿里旺铺装修</t>
  </si>
  <si>
    <t>本期静态原型仅预留字段</t>
  </si>
  <si>
    <t>店铺展示语 / 标语（中 / 英）</t>
  </si>
  <si>
    <t>一句话定位</t>
  </si>
  <si>
    <t>≤40 字</t>
  </si>
  <si>
    <t>开店</t>
  </si>
  <si>
    <t>敏感词校验</t>
  </si>
  <si>
    <t>阿里旺铺</t>
  </si>
  <si>
    <t>店铺主题 / 配色</t>
  </si>
  <si>
    <t>主题模板与主色</t>
  </si>
  <si>
    <t>店铺主页</t>
  </si>
  <si>
    <t>本期静态原型仅预留</t>
  </si>
  <si>
    <t>主营类目展示排序</t>
  </si>
  <si>
    <t>店铺橱窗类目排序</t>
  </si>
  <si>
    <t>排序</t>
  </si>
  <si>
    <t>产品标题（中 / 英）</t>
  </si>
  <si>
    <t>中文标题 ≤150 字符；英文 8–10 个词，含核心词 + 关键规格</t>
  </si>
  <si>
    <t>英文 ≤150 字符</t>
  </si>
  <si>
    <t>每次发布 / 编辑</t>
  </si>
  <si>
    <t>违禁词、联系方式、重复标题校验</t>
  </si>
  <si>
    <t>列表卡、详情页 H1</t>
  </si>
  <si>
    <t>中国制造网 / 阿里</t>
  </si>
  <si>
    <t>英文标题直接决定海外搜索命中率</t>
  </si>
  <si>
    <t>搜索关键词</t>
  </si>
  <si>
    <t>中英关键词，逗号分隔</t>
  </si>
  <si>
    <t>≤20 个</t>
  </si>
  <si>
    <t>每次发布</t>
  </si>
  <si>
    <t>去重、敏感词</t>
  </si>
  <si>
    <t>站内搜索、类目推荐</t>
  </si>
  <si>
    <t>阿里（≤20 个）</t>
  </si>
  <si>
    <t>一级 / 二级类目</t>
  </si>
  <si>
    <t>船舶/游艇（整艇·配件设备·涂装养护·衍生服务）、轴承、机床、农产品、木材/林产、石化/化工</t>
  </si>
  <si>
    <t>枚举树</t>
  </si>
  <si>
    <t>1 个</t>
  </si>
  <si>
    <t>必选校验</t>
  </si>
  <si>
    <t>面包屑、列表筛选</t>
  </si>
  <si>
    <t>中国制造网（中英类目切换）</t>
  </si>
  <si>
    <t>决定参数模板与合规强制组</t>
  </si>
  <si>
    <t>产品型号 / 牌号 / CAS 号</t>
  </si>
  <si>
    <t>型号、牌号或 CAS 号</t>
  </si>
  <si>
    <t>≤50 字符</t>
  </si>
  <si>
    <t>格式校验（CAS 校验位）</t>
  </si>
  <si>
    <t>详情参数表</t>
  </si>
  <si>
    <t>ECHEMI</t>
  </si>
  <si>
    <t>化工 / 试剂类 CAS 必填</t>
  </si>
  <si>
    <t>类目参数（模板字段）</t>
  </si>
  <si>
    <t>按类目模板动态渲染，字段级明细见《产品字段清单》</t>
  </si>
  <si>
    <t>枚举 + 数值 + 键值</t>
  </si>
  <si>
    <t>按模板</t>
  </si>
  <si>
    <t>数值区间、枚举校验</t>
  </si>
  <si>
    <t>详情参数表、列表筛选</t>
  </si>
  <si>
    <t>筛选器与详情参数同源</t>
  </si>
  <si>
    <t>自定义参数</t>
  </si>
  <si>
    <t>自行补充的键值对参数</t>
  </si>
  <si>
    <t>键值对</t>
  </si>
  <si>
    <t>≤15 组</t>
  </si>
  <si>
    <t>键名去重</t>
  </si>
  <si>
    <t>中国制造网（≤15 个）</t>
  </si>
  <si>
    <t>产品主图</t>
  </si>
  <si>
    <t>白底或实拍主图，主体占比 ≥70%</t>
  </si>
  <si>
    <t>≥800×800px，≤5MB，1 张</t>
  </si>
  <si>
    <t>图片合规（无联系方式/水印/拼图）</t>
  </si>
  <si>
    <t>列表卡、详情首图</t>
  </si>
  <si>
    <t>主图含文字联系方式会被驳回</t>
  </si>
  <si>
    <t>产品多图</t>
  </si>
  <si>
    <t>场景图、细节图、包装图、检测图</t>
  </si>
  <si>
    <t>3–10 张，≤5MB/张</t>
  </si>
  <si>
    <t>同上</t>
  </si>
  <si>
    <t>详情画廊</t>
  </si>
  <si>
    <t>建议含 1 张包装 / 装箱图</t>
  </si>
  <si>
    <t>产品视频</t>
  </si>
  <si>
    <t>产线或产品演示，30–90 秒</t>
  </si>
  <si>
    <t>MP4</t>
  </si>
  <si>
    <t>≤3 条，≤100MB/条</t>
  </si>
  <si>
    <t>详情媒体区</t>
  </si>
  <si>
    <t>阿里视频银行</t>
  </si>
  <si>
    <t>带视频商品询盘转化更高</t>
  </si>
  <si>
    <t>产品详细描述（中 / 英）</t>
  </si>
  <si>
    <t>卖点 → 参数 → 应用场景 → 包装 → 物流 → 服务，可插表格与图片</t>
  </si>
  <si>
    <t>英文 ≥300 词</t>
  </si>
  <si>
    <t>联系方式 / 外链拦截</t>
  </si>
  <si>
    <t>详情描述区</t>
  </si>
  <si>
    <t>中国制造网（纯文本 + 表格）</t>
  </si>
  <si>
    <t>英文描述为出海必备</t>
  </si>
  <si>
    <t>技术规格书（TDS）</t>
  </si>
  <si>
    <t>技术指标、使用方法、储存条件</t>
  </si>
  <si>
    <t>每次发布 + 版本更新</t>
  </si>
  <si>
    <t>文件可读性检查</t>
  </si>
  <si>
    <t>详情下载区</t>
  </si>
  <si>
    <t>化工 / 涂装 / 材料类必传</t>
  </si>
  <si>
    <t>MSDS / SDS</t>
  </si>
  <si>
    <t>16 项完整的安全数据表</t>
  </si>
  <si>
    <t>人工审核（16 项完整性）</t>
  </si>
  <si>
    <t>详情合规区</t>
  </si>
  <si>
    <t>阿里 / ECHEMI</t>
  </si>
  <si>
    <t>缺项提交即拦截</t>
  </si>
  <si>
    <t>UN 编号 / 危险等级 / 包装类别</t>
  </si>
  <si>
    <t>UN No.、危险类别、PG 包装类别</t>
  </si>
  <si>
    <t>文本 + 枚举</t>
  </si>
  <si>
    <t>必填校验 + 编号格式</t>
  </si>
  <si>
    <t>PRD 2.3 合规区</t>
  </si>
  <si>
    <t>危险品运输与清关必备</t>
  </si>
  <si>
    <t>运输限制与储运条件</t>
  </si>
  <si>
    <t>温湿度、禁配物、危险品舱位、IMDG 特殊条款</t>
  </si>
  <si>
    <t>目的国法规符合性</t>
  </si>
  <si>
    <t>AFS 防污公约、VOC 限值、REACH 注册 / SVHC 声明等</t>
  </si>
  <si>
    <t>文本 + PDF</t>
  </si>
  <si>
    <t>每次发布 + 法规更新</t>
  </si>
  <si>
    <t>涂装 / 化工类缺项不可提交</t>
  </si>
  <si>
    <t>应用场景 / 使用说明</t>
  </si>
  <si>
    <t>适用行业、复配建议、施工与使用要点</t>
  </si>
  <si>
    <t>包装规格</t>
  </si>
  <si>
    <t>内 / 外包装、净重毛重、托盘规格、柜型装载量</t>
  </si>
  <si>
    <t>文本 / 表格</t>
  </si>
  <si>
    <t>详情贸易信息、物流区</t>
  </si>
  <si>
    <t>化工 / 农产品建议设为必填</t>
  </si>
  <si>
    <t>MOQ 最小起订量</t>
  </si>
  <si>
    <t>数量 + 单位（吨 / 件 / 桶）</t>
  </si>
  <si>
    <t>数字 + 单位</t>
  </si>
  <si>
    <t>&gt;0</t>
  </si>
  <si>
    <t>数值校验</t>
  </si>
  <si>
    <t>详情贸易信息、列表卡</t>
  </si>
  <si>
    <t>交货期 Lead Time</t>
  </si>
  <si>
    <t>常规交期（天）与旺季说明</t>
  </si>
  <si>
    <t>数字 + 说明</t>
  </si>
  <si>
    <t>详情贸易信息</t>
  </si>
  <si>
    <t>贸易条款 Incoterms</t>
  </si>
  <si>
    <t>EXW / FOB / CIF / CFR / DDP</t>
  </si>
  <si>
    <t>枚举（多选）</t>
  </si>
  <si>
    <t>≥1</t>
  </si>
  <si>
    <t>价格区间 / FOB 单价</t>
  </si>
  <si>
    <t>含币种与计价单位（如 USD/吨）</t>
  </si>
  <si>
    <t>货币区间</t>
  </si>
  <si>
    <t>数值与单位校验</t>
  </si>
  <si>
    <t>详情、列表卡</t>
  </si>
  <si>
    <t>若改为「仅询价」模式需产品侧确认</t>
  </si>
  <si>
    <t>付款方式</t>
  </si>
  <si>
    <t>T/T、L/C、D/P、O/A 等</t>
  </si>
  <si>
    <t>发货港 / 交货地</t>
  </si>
  <si>
    <t>如 Dalian, China</t>
  </si>
  <si>
    <t>HS 编码</t>
  </si>
  <si>
    <t>6–10 位商品编码</t>
  </si>
  <si>
    <t>文本（数字）</t>
  </si>
  <si>
    <t>6–10 位</t>
  </si>
  <si>
    <t>位数校验</t>
  </si>
  <si>
    <t>出海平台特色</t>
  </si>
  <si>
    <t>便于买家核算关税与清关</t>
  </si>
  <si>
    <t>品牌 / OEM / ODM 能力</t>
  </si>
  <si>
    <t>自有品牌、OEM/ODM 支持情况</t>
  </si>
  <si>
    <t>枚举 + 文本</t>
  </si>
  <si>
    <t>详情、列表筛选</t>
  </si>
  <si>
    <t>认证关联</t>
  </si>
  <si>
    <t>从已上传证书中勾选，最多 10 个</t>
  </si>
  <si>
    <t>多选关联</t>
  </si>
  <si>
    <t>关联校验（证书需已验真）</t>
  </si>
  <si>
    <t>详情认证区、列表徽章</t>
  </si>
  <si>
    <t>中国制造网（证书关联产品）</t>
  </si>
  <si>
    <t>需先在认证与资质页上传</t>
  </si>
  <si>
    <t>多语言版本</t>
  </si>
  <si>
    <t>英文必填，可扩展俄 / 西 / 阿</t>
  </si>
  <si>
    <t>机器翻译需人工校对标记</t>
  </si>
  <si>
    <t>对应语言站点</t>
  </si>
  <si>
    <t>阿里多语言市场</t>
  </si>
  <si>
    <t>英文区为出海发布硬要求</t>
  </si>
  <si>
    <t>产品分组 / 目录归类</t>
  </si>
  <si>
    <t>店铺自定义分组</t>
  </si>
  <si>
    <t>店铺橱窗</t>
  </si>
  <si>
    <t>阿里产品分组</t>
  </si>
  <si>
    <t>图片版权与实拍承诺</t>
  </si>
  <si>
    <t>承诺图片为实拍或已获授权</t>
  </si>
  <si>
    <t>勾选声明</t>
  </si>
  <si>
    <t>不展示</t>
  </si>
  <si>
    <t>侵权投诉处理依据</t>
  </si>
  <si>
    <t>Excel 批量导入文件</t>
  </si>
  <si>
    <t>按平台模板批量新增 / 更新产品</t>
  </si>
  <si>
    <t>XLSX（官方模板）</t>
  </si>
  <si>
    <t>单次 ≤500 行，≤10MB</t>
  </si>
  <si>
    <t>批量上新</t>
  </si>
  <si>
    <t>模板校验 + 逐行结果回显</t>
  </si>
  <si>
    <t>阿里 Bulk upload / 中国制造网</t>
  </si>
  <si>
    <t>必须使用官方模板，否则整体失败</t>
  </si>
  <si>
    <t>企业资质证书</t>
  </si>
  <si>
    <t>营业执照、经营许可证、危化品经营许可等</t>
  </si>
  <si>
    <t>图片 ≤5MB（≤3 张）；PDF ≤10MB</t>
  </si>
  <si>
    <t>入驻 + 年审</t>
  </si>
  <si>
    <t>人工审核 + 第三方验真</t>
  </si>
  <si>
    <t>中国制造网「管理认证与资质」</t>
  </si>
  <si>
    <t>与入驻资料共用一份，避免重复上传</t>
  </si>
  <si>
    <t>产品证书</t>
  </si>
  <si>
    <t>CCS、ABS、DNV、CE、ISO、UL、REACH、RoHS、NSF、Kosher、Halal 等</t>
  </si>
  <si>
    <t>按需 + 到期更新</t>
  </si>
  <si>
    <t>人工审核 / 第三方验真</t>
  </si>
  <si>
    <t>商品详情认证区、列表徽章</t>
  </si>
  <si>
    <t>阿里认证中心</t>
  </si>
  <si>
    <t>须填写名称 / 编号 / 机构 / 有效期</t>
  </si>
  <si>
    <t>检测报告</t>
  </si>
  <si>
    <t>SGS、TÜV、Intertek、BV 等第三方检测报告</t>
  </si>
  <si>
    <t>按需 + 年度更新</t>
  </si>
  <si>
    <t>人工审核 / 验真</t>
  </si>
  <si>
    <t>详情认证区</t>
  </si>
  <si>
    <t>中国制造网检测报告</t>
  </si>
  <si>
    <t>过期后自动降级展示</t>
  </si>
  <si>
    <t>管理体系认证</t>
  </si>
  <si>
    <t>ISO 9001 / 14001 / 45001、GMP、FSSC 22000、HACCP</t>
  </si>
  <si>
    <t>中国制造网（仅支持自有）</t>
  </si>
  <si>
    <t>国别 / 市场准入证书</t>
  </si>
  <si>
    <t>EU REACH 注册、US FDA、日本 JIS、韩国 KC、IMDG 海运鉴定</t>
  </si>
  <si>
    <t>按需 + 法规更新</t>
  </si>
  <si>
    <t>按目的国匹配，出海核心信任项</t>
  </si>
  <si>
    <t>知识产权</t>
  </si>
  <si>
    <t>发明专利、实用新型、外观专利、商标、软件著作权</t>
  </si>
  <si>
    <t>图片 / PDF</t>
  </si>
  <si>
    <t>店铺实力区</t>
  </si>
  <si>
    <t>中国制造网知识产权类</t>
  </si>
  <si>
    <t>授权类证书</t>
  </si>
  <si>
    <t>授权书（平台模板，需盖合作工厂公章）+ 合作合同 + 品牌授权</t>
  </si>
  <si>
    <t>按需 + 年度</t>
  </si>
  <si>
    <t>缺授权资料提交拦截，所有权须选「授权使用」</t>
  </si>
  <si>
    <t>荣誉与资质等级</t>
  </si>
  <si>
    <t>高新技术企业、专精特新、行业协会会员等</t>
  </si>
  <si>
    <t>中国制造网其他证书</t>
  </si>
  <si>
    <t>证书结构化字段</t>
  </si>
  <si>
    <t>证书名称、编号、颁发机构、起止有效期、所有权归属、供应商承诺</t>
  </si>
  <si>
    <t>随每张证书</t>
  </si>
  <si>
    <t>自动校验（日期逻辑）</t>
  </si>
  <si>
    <t>证书卡片</t>
  </si>
  <si>
    <t>到期前 30 天站内提醒续传</t>
  </si>
  <si>
    <t>证书关联产品</t>
  </si>
  <si>
    <t>勾选该证书适用的商品</t>
  </si>
  <si>
    <t>随证书</t>
  </si>
  <si>
    <t>关联校验</t>
  </si>
  <si>
    <t>商品详情认证区</t>
  </si>
  <si>
    <t>决定商品详情页认证徽章是否显示</t>
  </si>
  <si>
    <t>文章标题（中 / 英）</t>
  </si>
  <si>
    <t>英文 ≤100 字符，含关键词</t>
  </si>
  <si>
    <t>每篇</t>
  </si>
  <si>
    <t>资讯频道、店铺新闻区</t>
  </si>
  <si>
    <t>阿里粉丝通</t>
  </si>
  <si>
    <t>正文（中 / 英，富文本）</t>
  </si>
  <si>
    <t>公司动态、产品新闻、行业观点；支持图片与表格</t>
  </si>
  <si>
    <t>文章详情页</t>
  </si>
  <si>
    <t>封面图</t>
  </si>
  <si>
    <t>横版封面，1200×630</t>
  </si>
  <si>
    <t>1200×630px，≤2MB</t>
  </si>
  <si>
    <t>资讯列表卡、店铺新闻区</t>
  </si>
  <si>
    <t>中国制造网最新资讯</t>
  </si>
  <si>
    <t>可从素材库直接引用</t>
  </si>
  <si>
    <t>分类标签</t>
  </si>
  <si>
    <t>公司动态 / 产品新闻 / 行业观点 / 展会动态</t>
  </si>
  <si>
    <t>1–3 个</t>
  </si>
  <si>
    <t>资讯频道筛选</t>
  </si>
  <si>
    <t>定时发布时间</t>
  </si>
  <si>
    <t>定时或即时发布</t>
  </si>
  <si>
    <t>日期时间</t>
  </si>
  <si>
    <t>≥当前时间</t>
  </si>
  <si>
    <t>时间校验</t>
  </si>
  <si>
    <t>列表排序</t>
  </si>
  <si>
    <t>静态原型仅回显，不真跑定时任务</t>
  </si>
  <si>
    <t>关联产品（热门产品卡）</t>
  </si>
  <si>
    <t>选择要插入文章的产品</t>
  </si>
  <si>
    <t>≤6 个</t>
  </si>
  <si>
    <t>文章内产品卡、侧边栏</t>
  </si>
  <si>
    <t>阿里粉丝通（图文 + 商品）</t>
  </si>
  <si>
    <t>配置后自动隐藏「最新文章」区块</t>
  </si>
  <si>
    <t>侧边栏 · 作者简介</t>
  </si>
  <si>
    <t>作者姓名、职位、头像、简介</t>
  </si>
  <si>
    <t>≤200 字</t>
  </si>
  <si>
    <t>配置一次</t>
  </si>
  <si>
    <t>文章侧边栏</t>
  </si>
  <si>
    <t>PRD 3.10</t>
  </si>
  <si>
    <t>侧边栏 · 联系我们表单</t>
  </si>
  <si>
    <t>姓名 / Email（必填）/ 电话 / WhatsApp / 公司（必填）/ 主题 / 留言</t>
  </si>
  <si>
    <t>表单配置</t>
  </si>
  <si>
    <t>必填项校验（Email、公司）</t>
  </si>
  <si>
    <t>线索沉淀到供应商客户库</t>
  </si>
  <si>
    <t>文章状态</t>
  </si>
  <si>
    <t>草稿 / 已发布 / 定时</t>
  </si>
  <si>
    <t>列表筛选</t>
  </si>
  <si>
    <t>草稿不对外展示</t>
  </si>
  <si>
    <t>产品素材</t>
  </si>
  <si>
    <t>产品图、细节图、包装图、产品视频</t>
  </si>
  <si>
    <t>JPG / PNG / MP4</t>
  </si>
  <si>
    <t>图片 ≤10MB；视频 ≤200MB</t>
  </si>
  <si>
    <t>持续</t>
  </si>
  <si>
    <t>图片 / 视频审核</t>
  </si>
  <si>
    <t>产品发布、详情页引用</t>
  </si>
  <si>
    <t>阿里图片银行 / 视频银行</t>
  </si>
  <si>
    <t>一次上传多处引用，避免重复占空间</t>
  </si>
  <si>
    <t>公司素材</t>
  </si>
  <si>
    <t>实拍图、Banner、Logo、证书扫描件</t>
  </si>
  <si>
    <t>公司信息、店铺装修引用</t>
  </si>
  <si>
    <t>阿里图片银行</t>
  </si>
  <si>
    <t>文章素材</t>
  </si>
  <si>
    <t>文章配图、封面图</t>
  </si>
  <si>
    <t>内容中心引用</t>
  </si>
  <si>
    <t>文件夹与标签</t>
  </si>
  <si>
    <t>产品素材 / 公司素材 / 文章素材，可自建子文件夹与标签</t>
  </si>
  <si>
    <t>重名校验</t>
  </si>
  <si>
    <t>素材库列表</t>
  </si>
  <si>
    <t>决定素材检索效率</t>
  </si>
  <si>
    <t>素材引用链接</t>
  </si>
  <si>
    <t>系统生成的可复制引用 URL</t>
  </si>
  <si>
    <t>系统</t>
  </si>
  <si>
    <t>自动</t>
  </si>
  <si>
    <t>系统生成</t>
  </si>
  <si>
    <t>复制引用</t>
  </si>
  <si>
    <t>删除前校验引用次数，避免破图</t>
  </si>
  <si>
    <t>字段分组</t>
  </si>
  <si>
    <t>字段名（中文）</t>
  </si>
  <si>
    <t>Field Label (EN)</t>
  </si>
  <si>
    <t>类型</t>
  </si>
  <si>
    <t>取值 / 枚举示例</t>
  </si>
  <si>
    <t>校验规则与说明</t>
  </si>
  <si>
    <t>适用类目</t>
  </si>
  <si>
    <t>基础信息</t>
  </si>
  <si>
    <t>一级类目</t>
  </si>
  <si>
    <t>Category</t>
  </si>
  <si>
    <t>船舶/游艇、轴承、机床、农产品、木材/林产、石化/化工</t>
  </si>
  <si>
    <t>决定参数模板与前台筛选；切换类目清空已填参数</t>
  </si>
  <si>
    <t>全部</t>
  </si>
  <si>
    <t>列表筛选、面包屑</t>
  </si>
  <si>
    <t>二级类目</t>
  </si>
  <si>
    <t>Sub-category</t>
  </si>
  <si>
    <t>整艇 / 配件设备 / 涂装养护 / 衍生服务</t>
  </si>
  <si>
    <t>仅船舶 / 游艇需选择</t>
  </si>
  <si>
    <t>船舶/游艇</t>
  </si>
  <si>
    <t>面包屑</t>
  </si>
  <si>
    <t>产品标题（中）</t>
  </si>
  <si>
    <t>Product Title (CN)</t>
  </si>
  <si>
    <t>3000 吨级钢质散货船</t>
  </si>
  <si>
    <t>≤150 字符；禁联系方式与极限词</t>
  </si>
  <si>
    <t>列表卡、详情 H1</t>
  </si>
  <si>
    <t>产品标题（英）</t>
  </si>
  <si>
    <t>Product Title (EN)</t>
  </si>
  <si>
    <t>3000DWT Bulk Carrier for Sale</t>
  </si>
  <si>
    <t>8–10 个词，含核心词 + 关键规格</t>
  </si>
  <si>
    <t>全部（出海必填）</t>
  </si>
  <si>
    <t>英文站、详情 H1</t>
  </si>
  <si>
    <t>Keywords</t>
  </si>
  <si>
    <t>bulk carrier, cargo ship, 3000dwt</t>
  </si>
  <si>
    <t>≤20 个，逗号分隔，去重</t>
  </si>
  <si>
    <t>站内搜索</t>
  </si>
  <si>
    <t>产品型号</t>
  </si>
  <si>
    <t>Model No.</t>
  </si>
  <si>
    <t>YC-1200 / 牌号 A-10</t>
  </si>
  <si>
    <t>除衍生服务外</t>
  </si>
  <si>
    <t>CAS 号</t>
  </si>
  <si>
    <t>CAS No.</t>
  </si>
  <si>
    <t>108-78-1</t>
  </si>
  <si>
    <t>校验位规则；多组分可填多条</t>
  </si>
  <si>
    <t>石化/化工</t>
  </si>
  <si>
    <t>品牌</t>
  </si>
  <si>
    <t>Brand</t>
  </si>
  <si>
    <t>自有品牌 / OEM 品牌</t>
  </si>
  <si>
    <t>详情、筛选</t>
  </si>
  <si>
    <t>OEM / ODM 能力</t>
  </si>
  <si>
    <t>OEM/ODM</t>
  </si>
  <si>
    <t>是 / 否 / 可商议</t>
  </si>
  <si>
    <t>产品分组</t>
  </si>
  <si>
    <t>Group</t>
  </si>
  <si>
    <t>按店铺自定义分组</t>
  </si>
  <si>
    <t>发布语言</t>
  </si>
  <si>
    <t>Language</t>
  </si>
  <si>
    <t>中文 / 英文 / 双语</t>
  </si>
  <si>
    <t>英文版本为出海必填</t>
  </si>
  <si>
    <t>图片与视频</t>
  </si>
  <si>
    <t>主图</t>
  </si>
  <si>
    <t>Main Image</t>
  </si>
  <si>
    <t>图片</t>
  </si>
  <si>
    <t>白底或实拍主图</t>
  </si>
  <si>
    <t>≥800×800px，≤5MB，1 张；禁联系方式 / 水印 / 拼图</t>
  </si>
  <si>
    <t>多图</t>
  </si>
  <si>
    <t>Gallery</t>
  </si>
  <si>
    <t>场景图 / 细节图 / 包装图 / 检测图</t>
  </si>
  <si>
    <t>Product Video</t>
  </si>
  <si>
    <t>视频</t>
  </si>
  <si>
    <t>产线或产品演示</t>
  </si>
  <si>
    <t>≤3 条，30–90 秒，≤100MB/条，MP4</t>
  </si>
  <si>
    <t>Copyright Declaration</t>
  </si>
  <si>
    <t>勾选</t>
  </si>
  <si>
    <t>实拍或已获授权</t>
  </si>
  <si>
    <t>勾选后记录时间与操作账号</t>
  </si>
  <si>
    <t>素材库引用</t>
  </si>
  <si>
    <t>Media ID</t>
  </si>
  <si>
    <t>关联</t>
  </si>
  <si>
    <t>从素材库选择已有素材</t>
  </si>
  <si>
    <t>引用不复制；删除前校验引用次数</t>
  </si>
  <si>
    <t>类目参数·船舶·整艇</t>
  </si>
  <si>
    <t>艇型</t>
  </si>
  <si>
    <t>Boat Type</t>
  </si>
  <si>
    <t>单体 / 双体 / 三体；游艇 / 钓鱼艇 / 工作艇 / 散货船</t>
  </si>
  <si>
    <t>船舶/游艇·整艇</t>
  </si>
  <si>
    <t>船体材质</t>
  </si>
  <si>
    <t>Hull Material</t>
  </si>
  <si>
    <t>FRP / 铝合金 / 钢质 / 木质</t>
  </si>
  <si>
    <t>总长</t>
  </si>
  <si>
    <t>LOA (m)</t>
  </si>
  <si>
    <t>数字</t>
  </si>
  <si>
    <t>12.5</t>
  </si>
  <si>
    <t>正数，1 位小数</t>
  </si>
  <si>
    <t>型宽</t>
  </si>
  <si>
    <t>Beam (m)</t>
  </si>
  <si>
    <t>4.2</t>
  </si>
  <si>
    <t>吃水</t>
  </si>
  <si>
    <t>Draft (m)</t>
  </si>
  <si>
    <t>1.1</t>
  </si>
  <si>
    <t>动力类型</t>
  </si>
  <si>
    <t>Propulsion</t>
  </si>
  <si>
    <t>舷外机 / 舷内机 / 电动 / 混动</t>
  </si>
  <si>
    <t>航速</t>
  </si>
  <si>
    <t>Speed (kn)</t>
  </si>
  <si>
    <t>22</t>
  </si>
  <si>
    <t>正数</t>
  </si>
  <si>
    <t>续航 / 航区</t>
  </si>
  <si>
    <t>Range (nm)</t>
  </si>
  <si>
    <t>300</t>
  </si>
  <si>
    <t>载客 / 载重</t>
  </si>
  <si>
    <t>Capacity</t>
  </si>
  <si>
    <t>12 人 / 3000 吨</t>
  </si>
  <si>
    <t>船级社</t>
  </si>
  <si>
    <t>Class</t>
  </si>
  <si>
    <t>CCS / ABS / DNV / CE</t>
  </si>
  <si>
    <t>与认证模块联动</t>
  </si>
  <si>
    <t>交付周期</t>
  </si>
  <si>
    <t>Delivery (month)</t>
  </si>
  <si>
    <t>6</t>
  </si>
  <si>
    <t>类目参数·船舶·配件</t>
  </si>
  <si>
    <t>配件子类</t>
  </si>
  <si>
    <t>Part Type</t>
  </si>
  <si>
    <t>甲板设备 / 导航通信 / 动力推进 / 电气系统 / 救生消防</t>
  </si>
  <si>
    <t>船舶/游艇·配件设备</t>
  </si>
  <si>
    <t>适配船型</t>
  </si>
  <si>
    <t>Compatible Model</t>
  </si>
  <si>
    <t>适配 30–60ft 游艇</t>
  </si>
  <si>
    <t>型号 / 规格</t>
  </si>
  <si>
    <t>Model &amp; Spec</t>
  </si>
  <si>
    <t>MTU 8V2000 M84</t>
  </si>
  <si>
    <t>≤100 字符</t>
  </si>
  <si>
    <t>主要材质</t>
  </si>
  <si>
    <t>Material</t>
  </si>
  <si>
    <t>不锈钢 / 铝合金 / 复合材料</t>
  </si>
  <si>
    <t>认证</t>
  </si>
  <si>
    <t>Certification</t>
  </si>
  <si>
    <t>CCS / CE</t>
  </si>
  <si>
    <t>需先在认证页上传</t>
  </si>
  <si>
    <t>包装与装箱</t>
  </si>
  <si>
    <t>Packing</t>
  </si>
  <si>
    <t>木箱，单箱 ≤500kg</t>
  </si>
  <si>
    <t>类目参数·涂装（合规强制组）</t>
  </si>
  <si>
    <t>涂料类型</t>
  </si>
  <si>
    <t>Coating Type</t>
  </si>
  <si>
    <t>防污漆 / 底漆 / 面漆 / 清漆 / 腻子</t>
  </si>
  <si>
    <t>船舶/游艇·涂装养护</t>
  </si>
  <si>
    <t>适用基材</t>
  </si>
  <si>
    <t>Substrate</t>
  </si>
  <si>
    <t>FRP / 钢 / 铝 / 木</t>
  </si>
  <si>
    <t>AFS 合规</t>
  </si>
  <si>
    <t>AFS Compliance</t>
  </si>
  <si>
    <t>符合 AFS 公约 / 不含有机锡</t>
  </si>
  <si>
    <t>不合规直接拦截上架</t>
  </si>
  <si>
    <t>VOC 含量</t>
  </si>
  <si>
    <t>VOC Content (g/L)</t>
  </si>
  <si>
    <t>≤250</t>
  </si>
  <si>
    <t>与目的国限值比对提示</t>
  </si>
  <si>
    <t>涂布率</t>
  </si>
  <si>
    <t>Coverage (m²/L)</t>
  </si>
  <si>
    <t>10.5</t>
  </si>
  <si>
    <t>MSDS</t>
  </si>
  <si>
    <t>MSDS File</t>
  </si>
  <si>
    <t>文件</t>
  </si>
  <si>
    <t>16 项完整 PDF</t>
  </si>
  <si>
    <t>≤10MB；缺项拦截提交</t>
  </si>
  <si>
    <t>UN 编号</t>
  </si>
  <si>
    <t>UN No.</t>
  </si>
  <si>
    <t>UN1263</t>
  </si>
  <si>
    <t>格式 UN+4 位数字</t>
  </si>
  <si>
    <t>危险等级</t>
  </si>
  <si>
    <t>Hazard Class</t>
  </si>
  <si>
    <t>3 类易燃液体</t>
  </si>
  <si>
    <t>包装类别</t>
  </si>
  <si>
    <t>Packing Group</t>
  </si>
  <si>
    <t>I / II / III</t>
  </si>
  <si>
    <t>运输限制</t>
  </si>
  <si>
    <t>Transport Restriction</t>
  </si>
  <si>
    <t>IMDG 特殊条款 / 禁配物</t>
  </si>
  <si>
    <t>目的国法规声明</t>
  </si>
  <si>
    <t>Regulation Statement</t>
  </si>
  <si>
    <t>EU BPR / US EPA / 中国 AFS</t>
  </si>
  <si>
    <t>类目参数·衍生服务</t>
  </si>
  <si>
    <t>服务类型</t>
  </si>
  <si>
    <t>Service Type</t>
  </si>
  <si>
    <t>维修 / 改装 / 托管 / 船员培训 / 勘验</t>
  </si>
  <si>
    <t>船舶/游艇·衍生服务</t>
  </si>
  <si>
    <t>服务区域</t>
  </si>
  <si>
    <t>Service Area</t>
  </si>
  <si>
    <t>中国沿海主要港口</t>
  </si>
  <si>
    <t>服务内容</t>
  </si>
  <si>
    <t>Service Description</t>
  </si>
  <si>
    <t>服务清单与交付标准</t>
  </si>
  <si>
    <t>英文 ≥150 词</t>
  </si>
  <si>
    <t>响应时限</t>
  </si>
  <si>
    <t>Response Time (h)</t>
  </si>
  <si>
    <t>24</t>
  </si>
  <si>
    <t>类目参数·轴承</t>
  </si>
  <si>
    <t>轴承类型</t>
  </si>
  <si>
    <t>Bearing Type</t>
  </si>
  <si>
    <t>深沟球 / 圆锥滚子 / 调心滚子 / 推力 / 关节</t>
  </si>
  <si>
    <t>轴承</t>
  </si>
  <si>
    <t>内径</t>
  </si>
  <si>
    <t>Bore (mm)</t>
  </si>
  <si>
    <t>25</t>
  </si>
  <si>
    <t>外径</t>
  </si>
  <si>
    <t>OD (mm)</t>
  </si>
  <si>
    <t>52</t>
  </si>
  <si>
    <t>宽度</t>
  </si>
  <si>
    <t>Width (mm)</t>
  </si>
  <si>
    <t>15</t>
  </si>
  <si>
    <t>精度等级</t>
  </si>
  <si>
    <t>Precision</t>
  </si>
  <si>
    <t>P0 / P6 / P5 / P4 / P2</t>
  </si>
  <si>
    <t>游隙</t>
  </si>
  <si>
    <t>Clearance</t>
  </si>
  <si>
    <t>C2 / C0 / C3 / C4</t>
  </si>
  <si>
    <t>密封形式</t>
  </si>
  <si>
    <t>Seal</t>
  </si>
  <si>
    <t>开式 / ZZ / 2RS</t>
  </si>
  <si>
    <t>额定动载荷</t>
  </si>
  <si>
    <t>Load Rating (kN)</t>
  </si>
  <si>
    <t>14.8</t>
  </si>
  <si>
    <t>极限转速</t>
  </si>
  <si>
    <t>Limiting Speed (rpm)</t>
  </si>
  <si>
    <t>12000</t>
  </si>
  <si>
    <t>材质</t>
  </si>
  <si>
    <t>轴承钢 / 不锈钢 / 陶瓷</t>
  </si>
  <si>
    <t>类目参数·机床</t>
  </si>
  <si>
    <t>加工类型</t>
  </si>
  <si>
    <t>Process Type</t>
  </si>
  <si>
    <t>车 / 铣 / 磨 / 钻 / 加工中心</t>
  </si>
  <si>
    <t>机床</t>
  </si>
  <si>
    <t>数控系统</t>
  </si>
  <si>
    <t>CNC System</t>
  </si>
  <si>
    <t>FANUC / SIEMENS / 三菱 / 国产</t>
  </si>
  <si>
    <t>行程 X/Y/Z</t>
  </si>
  <si>
    <t>Travel (mm)</t>
  </si>
  <si>
    <t>800 / 500 / 550</t>
  </si>
  <si>
    <t>三段数值</t>
  </si>
  <si>
    <t>主轴转速</t>
  </si>
  <si>
    <t>Spindle Speed (rpm)</t>
  </si>
  <si>
    <t>定位精度</t>
  </si>
  <si>
    <t>Accuracy (mm)</t>
  </si>
  <si>
    <t>±0.005</t>
  </si>
  <si>
    <t>允许正负号</t>
  </si>
  <si>
    <t>刀库容量</t>
  </si>
  <si>
    <t>Tool Capacity</t>
  </si>
  <si>
    <t>主轴功率</t>
  </si>
  <si>
    <t>Power (kW)</t>
  </si>
  <si>
    <t>11</t>
  </si>
  <si>
    <t>整机重量</t>
  </si>
  <si>
    <t>Weight (kg)</t>
  </si>
  <si>
    <t>4500</t>
  </si>
  <si>
    <t>详情参数表、物流</t>
  </si>
  <si>
    <t>新旧状态</t>
  </si>
  <si>
    <t>Condition</t>
  </si>
  <si>
    <t>全新 / 二手（需注明成新率）</t>
  </si>
  <si>
    <t>二手须上传检测报告</t>
  </si>
  <si>
    <t>类目参数·农产品</t>
  </si>
  <si>
    <t>品种</t>
  </si>
  <si>
    <t>Variety</t>
  </si>
  <si>
    <t>富士苹果 / Fuji Apple / Malus domestica</t>
  </si>
  <si>
    <t>中英 + 拉丁名</t>
  </si>
  <si>
    <t>农产品</t>
  </si>
  <si>
    <t>产地</t>
  </si>
  <si>
    <t>Origin</t>
  </si>
  <si>
    <t>中国 山东烟台</t>
  </si>
  <si>
    <t>等级</t>
  </si>
  <si>
    <t>Grade</t>
  </si>
  <si>
    <t>特级 / 一级 / 二级</t>
  </si>
  <si>
    <t>规格</t>
  </si>
  <si>
    <t>Specification</t>
  </si>
  <si>
    <t>80–85mm，单果 200–250g</t>
  </si>
  <si>
    <t>含水率</t>
  </si>
  <si>
    <t>Moisture (%)</t>
  </si>
  <si>
    <t>≤14</t>
  </si>
  <si>
    <t>农残与重金属检测</t>
  </si>
  <si>
    <t>Pesticide &amp; Heavy Metal Report</t>
  </si>
  <si>
    <t>第三方检测 PDF，须在有效期内</t>
  </si>
  <si>
    <t>缺项拦截提交</t>
  </si>
  <si>
    <t>食品级 / 有机认证</t>
  </si>
  <si>
    <t>Food Safety Cert</t>
  </si>
  <si>
    <t>HACCP / 有机 / GlobalG.A.P. / FDA</t>
  </si>
  <si>
    <t>包装与储运</t>
  </si>
  <si>
    <t>Packing &amp; Storage</t>
  </si>
  <si>
    <t>10kg 纸箱，冷藏 0–4℃</t>
  </si>
  <si>
    <t>产季</t>
  </si>
  <si>
    <t>Season</t>
  </si>
  <si>
    <t>10 月–次年 2 月</t>
  </si>
  <si>
    <t>类目参数·木材/林产</t>
  </si>
  <si>
    <t>树种</t>
  </si>
  <si>
    <t>Species</t>
  </si>
  <si>
    <t>俄罗斯樟子松 / Pinus sylvestris</t>
  </si>
  <si>
    <t>木材/林产</t>
  </si>
  <si>
    <t>俄罗斯 远东</t>
  </si>
  <si>
    <t>FAS / 1C / 2C</t>
  </si>
  <si>
    <t>≤12</t>
  </si>
  <si>
    <t>规格尺寸</t>
  </si>
  <si>
    <t>Dimension</t>
  </si>
  <si>
    <t>厚 × 宽 × 长（mm）</t>
  </si>
  <si>
    <t>产品类型</t>
  </si>
  <si>
    <t>Type</t>
  </si>
  <si>
    <t>原木 / 板材 / 单板 / 木片</t>
  </si>
  <si>
    <t>处理方式</t>
  </si>
  <si>
    <t>Treatment</t>
  </si>
  <si>
    <t>窑干 / 防腐 / 熏蒸（IPPC）</t>
  </si>
  <si>
    <t>FSC / CITES 证明</t>
  </si>
  <si>
    <t>FSC / CITES</t>
  </si>
  <si>
    <t>FSC 证书或 CITES 允许进出口证明</t>
  </si>
  <si>
    <t>涉濒危树种强制</t>
  </si>
  <si>
    <t>类目参数·石化/化工</t>
  </si>
  <si>
    <t>化学名称</t>
  </si>
  <si>
    <t>Chemical Name</t>
  </si>
  <si>
    <t>顺丁烯二酸酐 / Maleic Anhydride</t>
  </si>
  <si>
    <t>中英 / IUPAC 命名</t>
  </si>
  <si>
    <t>108-31-6</t>
  </si>
  <si>
    <t>校验位规则</t>
  </si>
  <si>
    <t>含量 / 纯度</t>
  </si>
  <si>
    <t>Purity (%)</t>
  </si>
  <si>
    <t>≥99.5</t>
  </si>
  <si>
    <t>外观</t>
  </si>
  <si>
    <t>Appearance</t>
  </si>
  <si>
    <t>白色片状固体</t>
  </si>
  <si>
    <t>密度</t>
  </si>
  <si>
    <t>Density (g/cm³)</t>
  </si>
  <si>
    <t>1.48</t>
  </si>
  <si>
    <t>沸点 / 闪点</t>
  </si>
  <si>
    <t>Boiling / Flash Point (℃)</t>
  </si>
  <si>
    <t>202 / 103</t>
  </si>
  <si>
    <t>溶解性</t>
  </si>
  <si>
    <t>Solubility</t>
  </si>
  <si>
    <t>易溶于水 / 醇</t>
  </si>
  <si>
    <t>应用领域</t>
  </si>
  <si>
    <t>Application</t>
  </si>
  <si>
    <t>不饱和树脂、涂料、农药中间体</t>
  </si>
  <si>
    <t>MSDS 文件</t>
  </si>
  <si>
    <t>UN2215</t>
  </si>
  <si>
    <t>石化/化工（危险品）</t>
  </si>
  <si>
    <t>危险等级 / 包装类别</t>
  </si>
  <si>
    <t>Hazard Class &amp; PG</t>
  </si>
  <si>
    <t>8 类腐蚀品 / PG III</t>
  </si>
  <si>
    <t>储运条件</t>
  </si>
  <si>
    <t>Storage &amp; Transport</t>
  </si>
  <si>
    <t>阴凉干燥、防潮、远离碱类</t>
  </si>
  <si>
    <t>REACH 注册状态</t>
  </si>
  <si>
    <t>REACH Status</t>
  </si>
  <si>
    <t>已注册 / 预注册 / 豁免</t>
  </si>
  <si>
    <t>出口欧盟必填</t>
  </si>
  <si>
    <t>Packaging</t>
  </si>
  <si>
    <t>25kg 编织袋 / 200L 桶 / IBC / ISO Tank</t>
  </si>
  <si>
    <t>贸易信息</t>
  </si>
  <si>
    <t>MOQ</t>
  </si>
  <si>
    <t>1 吨 / 100 件</t>
  </si>
  <si>
    <t>交货期</t>
  </si>
  <si>
    <t>Lead Time</t>
  </si>
  <si>
    <t>15–25 天</t>
  </si>
  <si>
    <t>贸易条款</t>
  </si>
  <si>
    <t>Incoterms</t>
  </si>
  <si>
    <t>价格区间</t>
  </si>
  <si>
    <t>Price Range</t>
  </si>
  <si>
    <t>USD 1,200–1,350/吨</t>
  </si>
  <si>
    <t>含币种与计量单位</t>
  </si>
  <si>
    <t>币种</t>
  </si>
  <si>
    <t>Currency</t>
  </si>
  <si>
    <t>USD / EUR / CNY</t>
  </si>
  <si>
    <t>详情</t>
  </si>
  <si>
    <t>Payment Terms</t>
  </si>
  <si>
    <t>T/T 30% 定金 + 70% 见提单副本</t>
  </si>
  <si>
    <t>发货港</t>
  </si>
  <si>
    <t>Port of Loading</t>
  </si>
  <si>
    <t>Dalian, China</t>
  </si>
  <si>
    <t>HS Code</t>
  </si>
  <si>
    <t>2917140000</t>
  </si>
  <si>
    <t>全部（出口必填）</t>
  </si>
  <si>
    <t>包装与装载</t>
  </si>
  <si>
    <t>Packing &amp; Loading</t>
  </si>
  <si>
    <t>20GP 装载 20 吨</t>
  </si>
  <si>
    <t>认证关联与状态</t>
  </si>
  <si>
    <t>关联认证</t>
  </si>
  <si>
    <t>从认证与资质页勾选，≤10 个</t>
  </si>
  <si>
    <t>证书需已验真</t>
  </si>
  <si>
    <t>产品状态</t>
  </si>
  <si>
    <t>Status</t>
  </si>
  <si>
    <t>draft / pending / active / inactive / rejected</t>
  </si>
  <si>
    <t>由审核流转驱动</t>
  </si>
  <si>
    <t>列表状态徽章</t>
  </si>
  <si>
    <t>驳回原因</t>
  </si>
  <si>
    <t>Reject Reason</t>
  </si>
  <si>
    <t>平台审核填写</t>
  </si>
  <si>
    <t>驳回时必填</t>
  </si>
  <si>
    <t>供应商可见提示</t>
  </si>
  <si>
    <t>上架 / 更新时间</t>
  </si>
  <si>
    <t>Updated At</t>
  </si>
  <si>
    <t>2026-10-21 14:00</t>
  </si>
  <si>
    <t>自动写入</t>
  </si>
  <si>
    <t>合规资料项</t>
  </si>
  <si>
    <t>文件 / 字段形式</t>
  </si>
  <si>
    <t>船舶·整艇</t>
  </si>
  <si>
    <t>船舶·配件</t>
  </si>
  <si>
    <t>涂装养护</t>
  </si>
  <si>
    <t>衍生服务</t>
  </si>
  <si>
    <t>说明</t>
  </si>
  <si>
    <t>MSDS / SDS 安全数据表</t>
  </si>
  <si>
    <t>PDF ≤10MB</t>
  </si>
  <si>
    <t>强制</t>
  </si>
  <si>
    <t>建议</t>
  </si>
  <si>
    <t>出口欧盟 / 美国为硬性要求</t>
  </si>
  <si>
    <t>TDS 技术数据表</t>
  </si>
  <si>
    <t>与详情页参数表互补</t>
  </si>
  <si>
    <t>文本字段</t>
  </si>
  <si>
    <t>危险品按 IMDG 分类</t>
  </si>
  <si>
    <t>运输限制 / IMDG 鉴定</t>
  </si>
  <si>
    <t>海运订舱与保险核保使用</t>
  </si>
  <si>
    <t>AFS 防污公约符合性</t>
  </si>
  <si>
    <t>含有机锡产品禁止上架</t>
  </si>
  <si>
    <t>VOC 含量标准</t>
  </si>
  <si>
    <t>数字 + PDF</t>
  </si>
  <si>
    <t>按目标市场限值校验</t>
  </si>
  <si>
    <t>REACH 注册 / SVHC 声明</t>
  </si>
  <si>
    <t>出口欧盟必备</t>
  </si>
  <si>
    <t>RoHS / CE 符合性</t>
  </si>
  <si>
    <t>机电类重点</t>
  </si>
  <si>
    <t>船级社证书 CCS / ABS / DNV</t>
  </si>
  <si>
    <t>上传后可关联到产品</t>
  </si>
  <si>
    <t>食品接触 / 食品级认证</t>
  </si>
  <si>
    <t>FDA / GB 4806 / EC 1935</t>
  </si>
  <si>
    <t>农残与重金属检测报告</t>
  </si>
  <si>
    <t>须在有效期内</t>
  </si>
  <si>
    <t>植物检疫 / IPPC 熏蒸证明</t>
  </si>
  <si>
    <t>木质包装需 IPPC 标识</t>
  </si>
  <si>
    <t>CITES 濒危物种证明</t>
  </si>
  <si>
    <t>涉濒危树种或含濒危成分</t>
  </si>
  <si>
    <t>原产地证 / HS 编码</t>
  </si>
  <si>
    <t>影响关税与清关时效</t>
  </si>
  <si>
    <t>危化经营许可、食品生产许可等</t>
  </si>
  <si>
    <t>产品责任险 / 验厂报告</t>
  </si>
  <si>
    <t>提升大买家信任</t>
  </si>
  <si>
    <t>图例</t>
  </si>
  <si>
    <t>缺项时提交拦截，不可上架</t>
  </si>
  <si>
    <t/>
  </si>
  <si>
    <t>不拦截，计入资料完善度提示</t>
  </si>
  <si>
    <t>使用说明 · 口径定义 · 上线建议</t>
  </si>
  <si>
    <t>一、这份表解决什么问题</t>
  </si>
  <si>
    <t>供应商登录平台后要维护的资料，分散在入驻注册、公司信息、商品发布、认证资质、内容中心、素材库、店铺装修等多个页面。本表把「在哪个页面、传什么、什么格式与大小、要不要审核、审核后展示在哪」一次拉平，供产品、研发、运营和商家培训共用同一份口径。</t>
  </si>
  <si>
    <t>二、五个工作表怎么用</t>
  </si>
  <si>
    <t>① 总览统计：按资料类别与所属模块统计项数与必填占比，用于评估工作量与排期，数字由公式引用主表实时计算。</t>
  </si>
  <si>
    <t>② 资料上传总清单（主表）：83 项资料逐条列出，含格式、数量 / 大小限制、维护时机、审核方式、前台展示位置与对标参考，是需求评审与验收的主依据。</t>
  </si>
  <si>
    <t>③ 产品字段清单：把「产品资料」拆到字段级（111 个字段），含通用字段、图片视频、六大类目的差异化参数、贸易信息与认证关联，可直接作为表单与接口设计依据。</t>
  </si>
  <si>
    <t>④ 类目合规矩阵：17 项合规文件在各类目下的强制 / 建议等级，用于配置「缺项拦截」规则与合规提示区。</t>
  </si>
  <si>
    <t>⑤ 说明（本页）：口径、优先级与待确认事项。</t>
  </si>
  <si>
    <t>分工说明：同一术语（如 MSDS、认证、交期）会在三张表中出现，但粒度不同——《资料上传总清单》回答「传什么、要不要传」，《产品字段清单》回答「表单长什么样、怎么校验」，《类目合规矩阵》回答「哪个类目强制」。这属于分层引用，不是重复录入；后续调整口径时请同步三处，避免只改一张表导致前后不一致。</t>
  </si>
  <si>
    <t>三、必填口径</t>
  </si>
  <si>
    <t>必填：任何类目下不传就无法完成该动作（入驻 / 发布 / 上架），主表中以黄底标注。</t>
  </si>
  <si>
    <t>类目强制：仅特定类目必填，如涂装类的 MSDS / UN / 危险等级、化工的 CAS 与纯度、农产品的检疫与农残报告；缺项在提交时拦截并高亮，主表中以红底标注。</t>
  </si>
  <si>
    <t>推荐：不拦截，但计入资料完善度得分，在工作台以「待补」待办形式提醒（对标中国制造网账户得分与账号完善度自检）。</t>
  </si>
  <si>
    <t>选填 / 按需：锦上添花或仅在特定商业形态下需要（如代理商的授权链）。</t>
  </si>
  <si>
    <t>系统：由平台自动生成或审核回写（状态、驳回原因、时间戳、素材引用链接），供应商不可直接编辑。</t>
  </si>
  <si>
    <t>四、与现有 PRD 的对应关系</t>
  </si>
  <si>
    <t>2.4 商品发布 → 产品资料（主表 30 项）+ 产品字段清单；3.2 供应商注册 → 企业主体与账号；3.3 公司信息 → 公司介绍；3.7 店铺主页 → 店铺装修 4 项；3.9 认证与资质 → 认证与资质（10 项）；3.10 内容中心 → 内容资讯（9 项）；3.11 素材库 → 素材库（5 项）。</t>
  </si>
  <si>
    <t>3.6 店铺工作台不采集资料，只消费本表的「完善度」与「待补项」做待办驱动；3.8 客户管理消费询盘与联系方式，不涉及资料上传。</t>
  </si>
  <si>
    <t>数据对象映射：supplier_profile（公司介绍 + 店铺装修）、products（产品资料 + 合规组）、certifications（认证与资质）、articles（内容资讯）、media_library（素材库）。</t>
  </si>
  <si>
    <t>五、待产品 / 运营拍板的 6 个点</t>
  </si>
  <si>
    <t>1）价格是否必须公开，还是允许「仅询价」模式；2）HS 编码是否对出口类目设为必填；3）证书是否接第三方验真（SGS / TÜV），还是先做平台人工审核 + 「已核验」标识；4）店铺装修（Banner / 主题）是否对普通会员开放；5）Excel 批量导入的单次行数上限与失败行处理策略（部分成功 or 整体回滚）；6）各环节审核 SLA（建议营业执照 1–3 个工作日、证书 2 个工作日）。</t>
  </si>
  <si>
    <t>补充说明：法人身份已改为「以营业执照登记信息核验」，不单独收取身份证影像——一是降低中小供应商的入驻流失（法人常不亲自操作、证件外传顾虑大），二是身份证号与影像属敏感个人信息，能不收就不收；如后续开通在线交易 / 收款，或发布危化、医药等强监管类目，再按场景要求法人身份证或「法人授权书 + 经办人身份证」。</t>
  </si>
  <si>
    <t>六、对标来源</t>
  </si>
  <si>
    <t>阿里国际站 My Alibaba：发布商品 / Bulk upload / 图片银行与视频银行 / 认证中心与年审 / 粉丝通 Feeds。</t>
  </si>
  <si>
    <t>中国制造网 Virtual Office：账号完善度自检与账户得分 / 上传营业执照作为发品前置 / 管理认证与资质（证书分类 + 第三方验真 + 关联产品）/ 授权使用需授权书与工厂合同。</t>
  </si>
  <si>
    <t>ECHEMI：类目准入许可证 / CBI 企业权威认证标识 / 商品图片数量限制与禁留联系方式。</t>
  </si>
  <si>
    <t>环球资源 Global Sources：Company 模块（公司认证创建与管理、Upload Video、PDF Catalog）/ SGS、TÜV 第三方验真。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</si>
</sst>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9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2F5597"/>
      <name val="微软雅黑"/>
      <charset val="134"/>
    </font>
    <font>
      <sz val="10"/>
      <color rgb="FF1A1A1A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1A1A1A"/>
      <name val="微软雅黑"/>
      <charset val="134"/>
    </font>
    <font>
      <b/>
      <sz val="10"/>
      <color rgb="FF9C0006"/>
      <name val="微软雅黑"/>
      <charset val="134"/>
    </font>
    <font>
      <sz val="10"/>
      <color rgb="FF9C6500"/>
      <name val="微软雅黑"/>
      <charset val="134"/>
    </font>
    <font>
      <sz val="9"/>
      <color rgb="FF1A1A1A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7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微软雅黑"/>
        <scheme val="none"/>
        <b val="1"/>
        <sz val="10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scheme val="none"/>
        <b val="1"/>
        <sz val="10"/>
        <color rgb="FF9C6500"/>
      </font>
      <fill>
        <patternFill patternType="solid">
          <fgColor rgb="FFFFEB9C"/>
          <bgColor rgb="FFFFEB9C"/>
        </patternFill>
      </fill>
    </dxf>
    <dxf>
      <font>
        <name val="微软雅黑"/>
        <scheme val="none"/>
        <sz val="10"/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</sheetPr>
  <dimension ref="A1:G25"/>
  <sheetViews>
    <sheetView showGridLines="0" workbookViewId="0">
      <selection activeCell="A1" sqref="A1:G1"/>
    </sheetView>
  </sheetViews>
  <sheetFormatPr defaultColWidth="9" defaultRowHeight="16.8" outlineLevelCol="6"/>
  <cols>
    <col min="1" max="1" width="24" customWidth="1"/>
    <col min="2" max="2" width="12" customWidth="1"/>
    <col min="3" max="3" width="10" customWidth="1"/>
    <col min="4" max="4" width="12" customWidth="1"/>
    <col min="5" max="5" width="14" customWidth="1"/>
    <col min="6" max="6" width="12" customWidth="1"/>
    <col min="7" max="7" width="46" customWidth="1"/>
  </cols>
  <sheetData>
    <row r="1" ht="34" customHeight="1" spans="1:7">
      <c r="A1" s="1" t="s">
        <v>0</v>
      </c>
    </row>
    <row r="2" ht="26" customHeight="1" spans="1:7">
      <c r="A2" s="12" t="s">
        <v>1</v>
      </c>
    </row>
    <row r="3" ht="32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22" customHeight="1" spans="1:7">
      <c r="A4" s="13" t="s">
        <v>9</v>
      </c>
      <c r="B4" s="6">
        <f>COUNTIF(资料上传总清单!$B$2:$B$399,$A4)</f>
        <v>8</v>
      </c>
      <c r="C4" s="6">
        <f>COUNTIFS(资料上传总清单!$B$2:$B$399,$A4,资料上传总清单!$F$2:$F$399,"必填")</f>
        <v>4</v>
      </c>
      <c r="D4" s="6">
        <f>COUNTIFS(资料上传总清单!$B$2:$B$399,$A4,资料上传总清单!$F$2:$F$399,"类目强制")</f>
        <v>1</v>
      </c>
      <c r="E4" s="6">
        <f t="shared" ref="E4:E9" si="0">B4-C4-D4</f>
        <v>3</v>
      </c>
      <c r="F4" s="14">
        <f t="shared" ref="F4:F10" si="1">IF(OR(B4="",B4=0),"",(C4+D4)/B4)</f>
        <v>0.625</v>
      </c>
      <c r="G4" s="13" t="s">
        <v>10</v>
      </c>
    </row>
    <row r="5" ht="22" customHeight="1" spans="1:7">
      <c r="A5" s="13" t="s">
        <v>11</v>
      </c>
      <c r="B5" s="6">
        <f>COUNTIF(资料上传总清单!$B$2:$B$399,$A5)</f>
        <v>20</v>
      </c>
      <c r="C5" s="6">
        <f>COUNTIFS(资料上传总清单!$B$2:$B$399,$A5,资料上传总清单!$F$2:$F$399,"必填")</f>
        <v>6</v>
      </c>
      <c r="D5" s="6">
        <f>COUNTIFS(资料上传总清单!$B$2:$B$399,$A5,资料上传总清单!$F$2:$F$399,"类目强制")</f>
        <v>0</v>
      </c>
      <c r="E5" s="6">
        <f t="shared" si="0"/>
        <v>14</v>
      </c>
      <c r="F5" s="14">
        <f t="shared" si="1"/>
        <v>0.3</v>
      </c>
      <c r="G5" s="13" t="s">
        <v>12</v>
      </c>
    </row>
    <row r="6" ht="22" customHeight="1" spans="1:7">
      <c r="A6" s="13" t="s">
        <v>13</v>
      </c>
      <c r="B6" s="6">
        <f>COUNTIF(资料上传总清单!$B$2:$B$399,$A6)</f>
        <v>30</v>
      </c>
      <c r="C6" s="6">
        <f>COUNTIFS(资料上传总清单!$B$2:$B$399,$A6,资料上传总清单!$F$2:$F$399,"必填")</f>
        <v>10</v>
      </c>
      <c r="D6" s="6">
        <f>COUNTIFS(资料上传总清单!$B$2:$B$399,$A6,资料上传总清单!$F$2:$F$399,"类目强制")</f>
        <v>6</v>
      </c>
      <c r="E6" s="6">
        <f t="shared" si="0"/>
        <v>14</v>
      </c>
      <c r="F6" s="14">
        <f t="shared" si="1"/>
        <v>0.533333333333333</v>
      </c>
      <c r="G6" s="13" t="s">
        <v>14</v>
      </c>
    </row>
    <row r="7" ht="22" customHeight="1" spans="1:7">
      <c r="A7" s="13" t="s">
        <v>15</v>
      </c>
      <c r="B7" s="6">
        <f>COUNTIF(资料上传总清单!$B$2:$B$399,$A7)</f>
        <v>10</v>
      </c>
      <c r="C7" s="6">
        <f>COUNTIFS(资料上传总清单!$B$2:$B$399,$A7,资料上传总清单!$F$2:$F$399,"必填")</f>
        <v>2</v>
      </c>
      <c r="D7" s="6">
        <f>COUNTIFS(资料上传总清单!$B$2:$B$399,$A7,资料上传总清单!$F$2:$F$399,"类目强制")</f>
        <v>1</v>
      </c>
      <c r="E7" s="6">
        <f t="shared" si="0"/>
        <v>7</v>
      </c>
      <c r="F7" s="14">
        <f t="shared" si="1"/>
        <v>0.3</v>
      </c>
      <c r="G7" s="13" t="s">
        <v>16</v>
      </c>
    </row>
    <row r="8" ht="22" customHeight="1" spans="1:7">
      <c r="A8" s="13" t="s">
        <v>17</v>
      </c>
      <c r="B8" s="6">
        <f>COUNTIF(资料上传总清单!$B$2:$B$399,$A8)</f>
        <v>9</v>
      </c>
      <c r="C8" s="6">
        <f>COUNTIFS(资料上传总清单!$B$2:$B$399,$A8,资料上传总清单!$F$2:$F$399,"必填")</f>
        <v>5</v>
      </c>
      <c r="D8" s="6">
        <f>COUNTIFS(资料上传总清单!$B$2:$B$399,$A8,资料上传总清单!$F$2:$F$399,"类目强制")</f>
        <v>0</v>
      </c>
      <c r="E8" s="6">
        <f t="shared" si="0"/>
        <v>4</v>
      </c>
      <c r="F8" s="14">
        <f t="shared" si="1"/>
        <v>0.555555555555556</v>
      </c>
      <c r="G8" s="13" t="s">
        <v>18</v>
      </c>
    </row>
    <row r="9" ht="22" customHeight="1" spans="1:7">
      <c r="A9" s="13" t="s">
        <v>19</v>
      </c>
      <c r="B9" s="6">
        <f>COUNTIF(资料上传总清单!$B$2:$B$399,$A9)</f>
        <v>5</v>
      </c>
      <c r="C9" s="6">
        <f>COUNTIFS(资料上传总清单!$B$2:$B$399,$A9,资料上传总清单!$F$2:$F$399,"必填")</f>
        <v>0</v>
      </c>
      <c r="D9" s="6">
        <f>COUNTIFS(资料上传总清单!$B$2:$B$399,$A9,资料上传总清单!$F$2:$F$399,"类目强制")</f>
        <v>0</v>
      </c>
      <c r="E9" s="6">
        <f t="shared" si="0"/>
        <v>5</v>
      </c>
      <c r="F9" s="14">
        <f t="shared" si="1"/>
        <v>0</v>
      </c>
      <c r="G9" s="13" t="s">
        <v>20</v>
      </c>
    </row>
    <row r="10" ht="22" customHeight="1" spans="1:7">
      <c r="A10" s="15" t="s">
        <v>21</v>
      </c>
      <c r="B10" s="16">
        <f>SUM(B4:B9)</f>
        <v>82</v>
      </c>
      <c r="C10" s="16">
        <f>SUM(C4:C9)</f>
        <v>27</v>
      </c>
      <c r="D10" s="16">
        <f>SUM(D4:D9)</f>
        <v>8</v>
      </c>
      <c r="E10" s="16">
        <f>SUM(E4:E9)</f>
        <v>47</v>
      </c>
      <c r="F10" s="17">
        <f t="shared" si="1"/>
        <v>0.426829268292683</v>
      </c>
      <c r="G10" s="15" t="s">
        <v>22</v>
      </c>
    </row>
    <row r="12" ht="32" customHeight="1" spans="1:7">
      <c r="A12" s="4" t="s">
        <v>23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24</v>
      </c>
    </row>
    <row r="13" ht="22" customHeight="1" spans="1:7">
      <c r="A13" s="13" t="s">
        <v>25</v>
      </c>
      <c r="B13" s="6">
        <f>COUNTIF(资料上传总清单!$C$2:$C$399,$A13)</f>
        <v>8</v>
      </c>
      <c r="C13" s="6">
        <f>COUNTIFS(资料上传总清单!$C$2:$C$399,$A13,资料上传总清单!$F$2:$F$399,"必填")</f>
        <v>4</v>
      </c>
      <c r="D13" s="6">
        <f>COUNTIFS(资料上传总清单!$C$2:$C$399,$A13,资料上传总清单!$F$2:$F$399,"类目强制")</f>
        <v>1</v>
      </c>
      <c r="E13" s="6">
        <f t="shared" ref="E13:E19" si="2">B13-C13-D13</f>
        <v>3</v>
      </c>
      <c r="F13" s="14">
        <f t="shared" ref="F13:F20" si="3">IF(OR(B13="",B13=0),"",(C13+D13)/B13)</f>
        <v>0.625</v>
      </c>
      <c r="G13" s="13" t="s">
        <v>26</v>
      </c>
    </row>
    <row r="14" ht="22" customHeight="1" spans="1:7">
      <c r="A14" s="13" t="s">
        <v>27</v>
      </c>
      <c r="B14" s="6">
        <f>COUNTIF(资料上传总清单!$C$2:$C$399,$A14)</f>
        <v>16</v>
      </c>
      <c r="C14" s="6">
        <f>COUNTIFS(资料上传总清单!$C$2:$C$399,$A14,资料上传总清单!$F$2:$F$399,"必填")</f>
        <v>6</v>
      </c>
      <c r="D14" s="6">
        <f>COUNTIFS(资料上传总清单!$C$2:$C$399,$A14,资料上传总清单!$F$2:$F$399,"类目强制")</f>
        <v>0</v>
      </c>
      <c r="E14" s="6">
        <f t="shared" si="2"/>
        <v>10</v>
      </c>
      <c r="F14" s="14">
        <f t="shared" si="3"/>
        <v>0.375</v>
      </c>
      <c r="G14" s="13" t="s">
        <v>28</v>
      </c>
    </row>
    <row r="15" ht="22" customHeight="1" spans="1:7">
      <c r="A15" s="13" t="s">
        <v>29</v>
      </c>
      <c r="B15" s="6">
        <f>COUNTIF(资料上传总清单!$C$2:$C$399,$A15)</f>
        <v>4</v>
      </c>
      <c r="C15" s="6">
        <f>COUNTIFS(资料上传总清单!$C$2:$C$399,$A15,资料上传总清单!$F$2:$F$399,"必填")</f>
        <v>0</v>
      </c>
      <c r="D15" s="6">
        <f>COUNTIFS(资料上传总清单!$C$2:$C$399,$A15,资料上传总清单!$F$2:$F$399,"类目强制")</f>
        <v>0</v>
      </c>
      <c r="E15" s="6">
        <f t="shared" si="2"/>
        <v>4</v>
      </c>
      <c r="F15" s="14">
        <f t="shared" si="3"/>
        <v>0</v>
      </c>
      <c r="G15" s="13" t="s">
        <v>30</v>
      </c>
    </row>
    <row r="16" ht="22" customHeight="1" spans="1:7">
      <c r="A16" s="13" t="s">
        <v>31</v>
      </c>
      <c r="B16" s="6">
        <f>COUNTIF(资料上传总清单!$C$2:$C$399,$A16)</f>
        <v>30</v>
      </c>
      <c r="C16" s="6">
        <f>COUNTIFS(资料上传总清单!$C$2:$C$399,$A16,资料上传总清单!$F$2:$F$399,"必填")</f>
        <v>10</v>
      </c>
      <c r="D16" s="6">
        <f>COUNTIFS(资料上传总清单!$C$2:$C$399,$A16,资料上传总清单!$F$2:$F$399,"类目强制")</f>
        <v>6</v>
      </c>
      <c r="E16" s="6">
        <f t="shared" si="2"/>
        <v>14</v>
      </c>
      <c r="F16" s="14">
        <f t="shared" si="3"/>
        <v>0.533333333333333</v>
      </c>
      <c r="G16" s="13" t="s">
        <v>32</v>
      </c>
    </row>
    <row r="17" ht="22" customHeight="1" spans="1:7">
      <c r="A17" s="13" t="s">
        <v>16</v>
      </c>
      <c r="B17" s="6">
        <f>COUNTIF(资料上传总清单!$C$2:$C$399,$A17)</f>
        <v>10</v>
      </c>
      <c r="C17" s="6">
        <f>COUNTIFS(资料上传总清单!$C$2:$C$399,$A17,资料上传总清单!$F$2:$F$399,"必填")</f>
        <v>2</v>
      </c>
      <c r="D17" s="6">
        <f>COUNTIFS(资料上传总清单!$C$2:$C$399,$A17,资料上传总清单!$F$2:$F$399,"类目强制")</f>
        <v>1</v>
      </c>
      <c r="E17" s="6">
        <f t="shared" si="2"/>
        <v>7</v>
      </c>
      <c r="F17" s="14">
        <f t="shared" si="3"/>
        <v>0.3</v>
      </c>
      <c r="G17" s="13" t="s">
        <v>33</v>
      </c>
    </row>
    <row r="18" ht="22" customHeight="1" spans="1:7">
      <c r="A18" s="13" t="s">
        <v>18</v>
      </c>
      <c r="B18" s="6">
        <f>COUNTIF(资料上传总清单!$C$2:$C$399,$A18)</f>
        <v>9</v>
      </c>
      <c r="C18" s="6">
        <f>COUNTIFS(资料上传总清单!$C$2:$C$399,$A18,资料上传总清单!$F$2:$F$399,"必填")</f>
        <v>5</v>
      </c>
      <c r="D18" s="6">
        <f>COUNTIFS(资料上传总清单!$C$2:$C$399,$A18,资料上传总清单!$F$2:$F$399,"类目强制")</f>
        <v>0</v>
      </c>
      <c r="E18" s="6">
        <f t="shared" si="2"/>
        <v>4</v>
      </c>
      <c r="F18" s="14">
        <f t="shared" si="3"/>
        <v>0.555555555555556</v>
      </c>
      <c r="G18" s="13" t="s">
        <v>34</v>
      </c>
    </row>
    <row r="19" ht="22" customHeight="1" spans="1:7">
      <c r="A19" s="13" t="s">
        <v>20</v>
      </c>
      <c r="B19" s="6">
        <f>COUNTIF(资料上传总清单!$C$2:$C$399,$A19)</f>
        <v>5</v>
      </c>
      <c r="C19" s="6">
        <f>COUNTIFS(资料上传总清单!$C$2:$C$399,$A19,资料上传总清单!$F$2:$F$399,"必填")</f>
        <v>0</v>
      </c>
      <c r="D19" s="6">
        <f>COUNTIFS(资料上传总清单!$C$2:$C$399,$A19,资料上传总清单!$F$2:$F$399,"类目强制")</f>
        <v>0</v>
      </c>
      <c r="E19" s="6">
        <f t="shared" si="2"/>
        <v>5</v>
      </c>
      <c r="F19" s="14">
        <f t="shared" si="3"/>
        <v>0</v>
      </c>
      <c r="G19" s="13" t="s">
        <v>35</v>
      </c>
    </row>
    <row r="20" ht="22" customHeight="1" spans="1:7">
      <c r="A20" s="15" t="s">
        <v>21</v>
      </c>
      <c r="B20" s="16">
        <f>SUM(B13:B19)</f>
        <v>82</v>
      </c>
      <c r="C20" s="16">
        <f>SUM(C13:C19)</f>
        <v>27</v>
      </c>
      <c r="D20" s="16">
        <f>SUM(D13:D19)</f>
        <v>8</v>
      </c>
      <c r="E20" s="16">
        <f>SUM(E13:E19)</f>
        <v>47</v>
      </c>
      <c r="F20" s="17">
        <f t="shared" si="3"/>
        <v>0.426829268292683</v>
      </c>
      <c r="G20" s="15" t="s">
        <v>36</v>
      </c>
    </row>
    <row r="22" ht="26" customHeight="1" spans="1:7">
      <c r="A22" s="2" t="s">
        <v>37</v>
      </c>
    </row>
    <row r="23" ht="40" customHeight="1" spans="1:7">
      <c r="A23" s="18" t="s">
        <v>38</v>
      </c>
      <c r="B23" s="13" t="s">
        <v>39</v>
      </c>
      <c r="C23" s="13"/>
      <c r="D23" s="13"/>
      <c r="E23" s="13"/>
      <c r="F23" s="13"/>
      <c r="G23" s="13"/>
    </row>
    <row r="24" ht="40" customHeight="1" spans="1:7">
      <c r="A24" s="18" t="s">
        <v>40</v>
      </c>
      <c r="B24" s="13" t="s">
        <v>41</v>
      </c>
      <c r="C24" s="13"/>
      <c r="D24" s="13"/>
      <c r="E24" s="13"/>
      <c r="F24" s="13"/>
      <c r="G24" s="13"/>
    </row>
    <row r="25" ht="40" customHeight="1" spans="1:7">
      <c r="A25" s="18" t="s">
        <v>42</v>
      </c>
      <c r="B25" s="13" t="s">
        <v>43</v>
      </c>
      <c r="C25" s="13"/>
      <c r="D25" s="13"/>
      <c r="E25" s="13"/>
      <c r="F25" s="13"/>
      <c r="G25" s="13"/>
    </row>
  </sheetData>
  <mergeCells count="6">
    <mergeCell ref="A1:G1"/>
    <mergeCell ref="A2:G2"/>
    <mergeCell ref="A22:G22"/>
    <mergeCell ref="B23:G23"/>
    <mergeCell ref="B24:G24"/>
    <mergeCell ref="B25:G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M83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A2" sqref="A2:A83"/>
    </sheetView>
  </sheetViews>
  <sheetFormatPr defaultColWidth="9" defaultRowHeight="16.8"/>
  <cols>
    <col min="1" max="1" width="6" customWidth="1"/>
    <col min="2" max="2" width="14" customWidth="1"/>
    <col min="3" max="3" width="18" customWidth="1"/>
    <col min="4" max="4" width="22" customWidth="1"/>
    <col min="5" max="5" width="46" customWidth="1"/>
    <col min="6" max="6" width="11" customWidth="1"/>
    <col min="7" max="7" width="18" customWidth="1"/>
    <col min="8" max="8" width="22" customWidth="1"/>
    <col min="9" max="9" width="17" customWidth="1"/>
    <col min="10" max="10" width="16" customWidth="1"/>
    <col min="11" max="12" width="20" customWidth="1"/>
    <col min="13" max="13" width="32" customWidth="1"/>
  </cols>
  <sheetData>
    <row r="1" ht="36" customHeight="1" spans="1:13">
      <c r="A1" s="4" t="s">
        <v>44</v>
      </c>
      <c r="B1" s="4" t="s">
        <v>2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</row>
    <row r="2" ht="46" spans="1:13">
      <c r="A2" s="6">
        <v>1</v>
      </c>
      <c r="B2" s="5" t="s">
        <v>9</v>
      </c>
      <c r="C2" s="5" t="s">
        <v>25</v>
      </c>
      <c r="D2" s="5" t="s">
        <v>56</v>
      </c>
      <c r="E2" s="5" t="s">
        <v>57</v>
      </c>
      <c r="F2" s="6" t="s">
        <v>4</v>
      </c>
      <c r="G2" s="5" t="s">
        <v>58</v>
      </c>
      <c r="H2" s="5" t="s">
        <v>59</v>
      </c>
      <c r="I2" s="5" t="s">
        <v>60</v>
      </c>
      <c r="J2" s="5" t="s">
        <v>61</v>
      </c>
      <c r="K2" s="5" t="s">
        <v>62</v>
      </c>
      <c r="L2" s="5" t="s">
        <v>63</v>
      </c>
      <c r="M2" s="5" t="s">
        <v>64</v>
      </c>
    </row>
    <row r="3" ht="46" spans="1:13">
      <c r="A3" s="6">
        <v>2</v>
      </c>
      <c r="B3" s="5" t="s">
        <v>9</v>
      </c>
      <c r="C3" s="5" t="s">
        <v>25</v>
      </c>
      <c r="D3" s="5" t="s">
        <v>65</v>
      </c>
      <c r="E3" s="5" t="s">
        <v>66</v>
      </c>
      <c r="F3" s="6" t="s">
        <v>4</v>
      </c>
      <c r="G3" s="5" t="s">
        <v>67</v>
      </c>
      <c r="H3" s="5" t="s">
        <v>68</v>
      </c>
      <c r="I3" s="5" t="s">
        <v>69</v>
      </c>
      <c r="J3" s="5" t="s">
        <v>61</v>
      </c>
      <c r="K3" s="5" t="s">
        <v>70</v>
      </c>
      <c r="L3" s="5" t="s">
        <v>71</v>
      </c>
      <c r="M3" s="5" t="s">
        <v>72</v>
      </c>
    </row>
    <row r="4" ht="31" spans="1:13">
      <c r="A4" s="6">
        <v>3</v>
      </c>
      <c r="B4" s="5" t="s">
        <v>9</v>
      </c>
      <c r="C4" s="5" t="s">
        <v>25</v>
      </c>
      <c r="D4" s="5" t="s">
        <v>73</v>
      </c>
      <c r="E4" s="5" t="s">
        <v>74</v>
      </c>
      <c r="F4" s="6" t="s">
        <v>4</v>
      </c>
      <c r="G4" s="5" t="s">
        <v>58</v>
      </c>
      <c r="H4" s="5" t="s">
        <v>75</v>
      </c>
      <c r="I4" s="5" t="s">
        <v>76</v>
      </c>
      <c r="J4" s="5" t="s">
        <v>77</v>
      </c>
      <c r="K4" s="5" t="s">
        <v>78</v>
      </c>
      <c r="L4" s="5" t="s">
        <v>79</v>
      </c>
      <c r="M4" s="5" t="s">
        <v>80</v>
      </c>
    </row>
    <row r="5" ht="31" spans="1:13">
      <c r="A5" s="6">
        <v>4</v>
      </c>
      <c r="B5" s="5" t="s">
        <v>9</v>
      </c>
      <c r="C5" s="5" t="s">
        <v>25</v>
      </c>
      <c r="D5" s="5" t="s">
        <v>81</v>
      </c>
      <c r="E5" s="5" t="s">
        <v>82</v>
      </c>
      <c r="F5" s="6" t="s">
        <v>5</v>
      </c>
      <c r="G5" s="5" t="s">
        <v>83</v>
      </c>
      <c r="H5" s="5" t="s">
        <v>84</v>
      </c>
      <c r="I5" s="5" t="s">
        <v>85</v>
      </c>
      <c r="J5" s="5" t="s">
        <v>61</v>
      </c>
      <c r="K5" s="5" t="s">
        <v>86</v>
      </c>
      <c r="L5" s="5" t="s">
        <v>87</v>
      </c>
      <c r="M5" s="5" t="s">
        <v>88</v>
      </c>
    </row>
    <row r="6" ht="31" spans="1:13">
      <c r="A6" s="6">
        <v>5</v>
      </c>
      <c r="B6" s="5" t="s">
        <v>9</v>
      </c>
      <c r="C6" s="5" t="s">
        <v>25</v>
      </c>
      <c r="D6" s="5" t="s">
        <v>89</v>
      </c>
      <c r="E6" s="5" t="s">
        <v>90</v>
      </c>
      <c r="F6" s="6" t="s">
        <v>91</v>
      </c>
      <c r="G6" s="5" t="s">
        <v>83</v>
      </c>
      <c r="H6" s="5" t="s">
        <v>92</v>
      </c>
      <c r="I6" s="5" t="s">
        <v>93</v>
      </c>
      <c r="J6" s="5" t="s">
        <v>61</v>
      </c>
      <c r="K6" s="5" t="s">
        <v>86</v>
      </c>
      <c r="L6" s="5" t="s">
        <v>94</v>
      </c>
      <c r="M6" s="5" t="s">
        <v>95</v>
      </c>
    </row>
    <row r="7" ht="31" spans="1:13">
      <c r="A7" s="6">
        <v>6</v>
      </c>
      <c r="B7" s="5" t="s">
        <v>9</v>
      </c>
      <c r="C7" s="5" t="s">
        <v>25</v>
      </c>
      <c r="D7" s="5" t="s">
        <v>96</v>
      </c>
      <c r="E7" s="5" t="s">
        <v>97</v>
      </c>
      <c r="F7" s="6" t="s">
        <v>4</v>
      </c>
      <c r="G7" s="5" t="s">
        <v>98</v>
      </c>
      <c r="H7" s="5" t="s">
        <v>59</v>
      </c>
      <c r="I7" s="5" t="s">
        <v>99</v>
      </c>
      <c r="J7" s="5" t="s">
        <v>100</v>
      </c>
      <c r="K7" s="5" t="s">
        <v>101</v>
      </c>
      <c r="L7" s="5" t="s">
        <v>102</v>
      </c>
      <c r="M7" s="5" t="s">
        <v>103</v>
      </c>
    </row>
    <row r="8" ht="31" spans="1:13">
      <c r="A8" s="6">
        <v>7</v>
      </c>
      <c r="B8" s="5" t="s">
        <v>9</v>
      </c>
      <c r="C8" s="5" t="s">
        <v>25</v>
      </c>
      <c r="D8" s="5" t="s">
        <v>104</v>
      </c>
      <c r="E8" s="5" t="s">
        <v>105</v>
      </c>
      <c r="F8" s="6" t="s">
        <v>106</v>
      </c>
      <c r="G8" s="5" t="s">
        <v>58</v>
      </c>
      <c r="H8" s="5" t="s">
        <v>107</v>
      </c>
      <c r="I8" s="5" t="s">
        <v>108</v>
      </c>
      <c r="J8" s="5" t="s">
        <v>109</v>
      </c>
      <c r="K8" s="5" t="s">
        <v>101</v>
      </c>
      <c r="L8" s="5" t="s">
        <v>110</v>
      </c>
      <c r="M8" s="5" t="s">
        <v>111</v>
      </c>
    </row>
    <row r="9" ht="31" spans="1:13">
      <c r="A9" s="6">
        <v>8</v>
      </c>
      <c r="B9" s="5" t="s">
        <v>9</v>
      </c>
      <c r="C9" s="5" t="s">
        <v>25</v>
      </c>
      <c r="D9" s="5" t="s">
        <v>112</v>
      </c>
      <c r="E9" s="5" t="s">
        <v>113</v>
      </c>
      <c r="F9" s="6" t="s">
        <v>108</v>
      </c>
      <c r="G9" s="5" t="s">
        <v>114</v>
      </c>
      <c r="H9" s="5" t="s">
        <v>115</v>
      </c>
      <c r="I9" s="5" t="s">
        <v>116</v>
      </c>
      <c r="J9" s="5" t="s">
        <v>61</v>
      </c>
      <c r="K9" s="5" t="s">
        <v>86</v>
      </c>
      <c r="L9" s="5" t="s">
        <v>117</v>
      </c>
      <c r="M9" s="5" t="s">
        <v>118</v>
      </c>
    </row>
    <row r="10" ht="31" spans="1:13">
      <c r="A10" s="6">
        <v>9</v>
      </c>
      <c r="B10" s="5" t="s">
        <v>11</v>
      </c>
      <c r="C10" s="5" t="s">
        <v>27</v>
      </c>
      <c r="D10" s="5" t="s">
        <v>119</v>
      </c>
      <c r="E10" s="5" t="s">
        <v>120</v>
      </c>
      <c r="F10" s="6" t="s">
        <v>4</v>
      </c>
      <c r="G10" s="5" t="s">
        <v>121</v>
      </c>
      <c r="H10" s="5" t="s">
        <v>122</v>
      </c>
      <c r="I10" s="5" t="s">
        <v>123</v>
      </c>
      <c r="J10" s="5" t="s">
        <v>124</v>
      </c>
      <c r="K10" s="5" t="s">
        <v>125</v>
      </c>
      <c r="L10" s="5" t="s">
        <v>126</v>
      </c>
      <c r="M10" s="5" t="s">
        <v>127</v>
      </c>
    </row>
    <row r="11" ht="31" spans="1:13">
      <c r="A11" s="6">
        <v>10</v>
      </c>
      <c r="B11" s="5" t="s">
        <v>11</v>
      </c>
      <c r="C11" s="5" t="s">
        <v>27</v>
      </c>
      <c r="D11" s="5" t="s">
        <v>128</v>
      </c>
      <c r="E11" s="5" t="s">
        <v>129</v>
      </c>
      <c r="F11" s="6" t="s">
        <v>4</v>
      </c>
      <c r="G11" s="5" t="s">
        <v>130</v>
      </c>
      <c r="H11" s="5" t="s">
        <v>131</v>
      </c>
      <c r="I11" s="5" t="s">
        <v>123</v>
      </c>
      <c r="J11" s="5" t="s">
        <v>132</v>
      </c>
      <c r="K11" s="5" t="s">
        <v>125</v>
      </c>
      <c r="L11" s="5" t="s">
        <v>133</v>
      </c>
      <c r="M11" s="5" t="s">
        <v>134</v>
      </c>
    </row>
    <row r="12" ht="31" spans="1:13">
      <c r="A12" s="6">
        <v>11</v>
      </c>
      <c r="B12" s="5" t="s">
        <v>11</v>
      </c>
      <c r="C12" s="5" t="s">
        <v>27</v>
      </c>
      <c r="D12" s="5" t="s">
        <v>135</v>
      </c>
      <c r="E12" s="5" t="s">
        <v>136</v>
      </c>
      <c r="F12" s="6" t="s">
        <v>4</v>
      </c>
      <c r="G12" s="5" t="s">
        <v>130</v>
      </c>
      <c r="H12" s="5" t="s">
        <v>59</v>
      </c>
      <c r="I12" s="5" t="s">
        <v>137</v>
      </c>
      <c r="J12" s="5" t="s">
        <v>138</v>
      </c>
      <c r="K12" s="5" t="s">
        <v>139</v>
      </c>
      <c r="L12" s="5" t="s">
        <v>133</v>
      </c>
      <c r="M12" s="5" t="s">
        <v>140</v>
      </c>
    </row>
    <row r="13" spans="1:13">
      <c r="A13" s="6">
        <v>12</v>
      </c>
      <c r="B13" s="5" t="s">
        <v>11</v>
      </c>
      <c r="C13" s="5" t="s">
        <v>27</v>
      </c>
      <c r="D13" s="5" t="s">
        <v>141</v>
      </c>
      <c r="E13" s="5" t="s">
        <v>142</v>
      </c>
      <c r="F13" s="6" t="s">
        <v>91</v>
      </c>
      <c r="G13" s="5" t="s">
        <v>143</v>
      </c>
      <c r="H13" s="5" t="s">
        <v>59</v>
      </c>
      <c r="I13" s="5" t="s">
        <v>108</v>
      </c>
      <c r="J13" s="5" t="s">
        <v>144</v>
      </c>
      <c r="K13" s="5" t="s">
        <v>145</v>
      </c>
      <c r="L13" s="5" t="s">
        <v>133</v>
      </c>
      <c r="M13" s="5" t="s">
        <v>146</v>
      </c>
    </row>
    <row r="14" ht="31" spans="1:13">
      <c r="A14" s="6">
        <v>13</v>
      </c>
      <c r="B14" s="5" t="s">
        <v>11</v>
      </c>
      <c r="C14" s="5" t="s">
        <v>27</v>
      </c>
      <c r="D14" s="5" t="s">
        <v>147</v>
      </c>
      <c r="E14" s="5" t="s">
        <v>148</v>
      </c>
      <c r="F14" s="6" t="s">
        <v>4</v>
      </c>
      <c r="G14" s="5" t="s">
        <v>149</v>
      </c>
      <c r="H14" s="5" t="s">
        <v>150</v>
      </c>
      <c r="I14" s="5" t="s">
        <v>137</v>
      </c>
      <c r="J14" s="5" t="s">
        <v>151</v>
      </c>
      <c r="K14" s="5" t="s">
        <v>152</v>
      </c>
      <c r="L14" s="5" t="s">
        <v>133</v>
      </c>
      <c r="M14" s="5" t="s">
        <v>153</v>
      </c>
    </row>
    <row r="15" ht="31" spans="1:13">
      <c r="A15" s="6">
        <v>14</v>
      </c>
      <c r="B15" s="5" t="s">
        <v>11</v>
      </c>
      <c r="C15" s="5" t="s">
        <v>27</v>
      </c>
      <c r="D15" s="5" t="s">
        <v>154</v>
      </c>
      <c r="E15" s="5" t="s">
        <v>155</v>
      </c>
      <c r="F15" s="6" t="s">
        <v>91</v>
      </c>
      <c r="G15" s="5" t="s">
        <v>156</v>
      </c>
      <c r="H15" s="5" t="s">
        <v>59</v>
      </c>
      <c r="I15" s="5" t="s">
        <v>93</v>
      </c>
      <c r="J15" s="5" t="s">
        <v>59</v>
      </c>
      <c r="K15" s="5" t="s">
        <v>157</v>
      </c>
      <c r="L15" s="5" t="s">
        <v>158</v>
      </c>
      <c r="M15" s="5" t="s">
        <v>159</v>
      </c>
    </row>
    <row r="16" ht="31" spans="1:13">
      <c r="A16" s="6">
        <v>15</v>
      </c>
      <c r="B16" s="5" t="s">
        <v>11</v>
      </c>
      <c r="C16" s="5" t="s">
        <v>27</v>
      </c>
      <c r="D16" s="5" t="s">
        <v>160</v>
      </c>
      <c r="E16" s="5" t="s">
        <v>161</v>
      </c>
      <c r="F16" s="6" t="s">
        <v>4</v>
      </c>
      <c r="G16" s="5" t="s">
        <v>162</v>
      </c>
      <c r="H16" s="5" t="s">
        <v>163</v>
      </c>
      <c r="I16" s="5" t="s">
        <v>164</v>
      </c>
      <c r="J16" s="5" t="s">
        <v>165</v>
      </c>
      <c r="K16" s="5" t="s">
        <v>166</v>
      </c>
      <c r="L16" s="5" t="s">
        <v>167</v>
      </c>
      <c r="M16" s="5" t="s">
        <v>168</v>
      </c>
    </row>
    <row r="17" ht="31" spans="1:13">
      <c r="A17" s="6">
        <v>16</v>
      </c>
      <c r="B17" s="5" t="s">
        <v>11</v>
      </c>
      <c r="C17" s="5" t="s">
        <v>27</v>
      </c>
      <c r="D17" s="5" t="s">
        <v>169</v>
      </c>
      <c r="E17" s="5" t="s">
        <v>170</v>
      </c>
      <c r="F17" s="6" t="s">
        <v>4</v>
      </c>
      <c r="G17" s="5" t="s">
        <v>171</v>
      </c>
      <c r="H17" s="5" t="s">
        <v>172</v>
      </c>
      <c r="I17" s="5" t="s">
        <v>137</v>
      </c>
      <c r="J17" s="5" t="s">
        <v>151</v>
      </c>
      <c r="K17" s="5" t="s">
        <v>173</v>
      </c>
      <c r="L17" s="5" t="s">
        <v>174</v>
      </c>
      <c r="M17" s="5" t="s">
        <v>175</v>
      </c>
    </row>
    <row r="18" spans="1:13">
      <c r="A18" s="6">
        <v>17</v>
      </c>
      <c r="B18" s="5" t="s">
        <v>11</v>
      </c>
      <c r="C18" s="5" t="s">
        <v>27</v>
      </c>
      <c r="D18" s="5" t="s">
        <v>176</v>
      </c>
      <c r="E18" s="5" t="s">
        <v>177</v>
      </c>
      <c r="F18" s="6" t="s">
        <v>91</v>
      </c>
      <c r="G18" s="5" t="s">
        <v>130</v>
      </c>
      <c r="H18" s="5" t="s">
        <v>107</v>
      </c>
      <c r="I18" s="5" t="s">
        <v>137</v>
      </c>
      <c r="J18" s="5" t="s">
        <v>59</v>
      </c>
      <c r="K18" s="5" t="s">
        <v>178</v>
      </c>
      <c r="L18" s="5" t="s">
        <v>133</v>
      </c>
      <c r="M18" s="5" t="s">
        <v>179</v>
      </c>
    </row>
    <row r="19" ht="31" spans="1:13">
      <c r="A19" s="6">
        <v>18</v>
      </c>
      <c r="B19" s="5" t="s">
        <v>11</v>
      </c>
      <c r="C19" s="5" t="s">
        <v>27</v>
      </c>
      <c r="D19" s="5" t="s">
        <v>180</v>
      </c>
      <c r="E19" s="5" t="s">
        <v>181</v>
      </c>
      <c r="F19" s="6" t="s">
        <v>91</v>
      </c>
      <c r="G19" s="5" t="s">
        <v>182</v>
      </c>
      <c r="H19" s="5" t="s">
        <v>183</v>
      </c>
      <c r="I19" s="5" t="s">
        <v>184</v>
      </c>
      <c r="J19" s="5" t="s">
        <v>185</v>
      </c>
      <c r="K19" s="5" t="s">
        <v>157</v>
      </c>
      <c r="L19" s="5" t="s">
        <v>186</v>
      </c>
      <c r="M19" s="5" t="s">
        <v>187</v>
      </c>
    </row>
    <row r="20" ht="31" spans="1:13">
      <c r="A20" s="6">
        <v>19</v>
      </c>
      <c r="B20" s="5" t="s">
        <v>11</v>
      </c>
      <c r="C20" s="5" t="s">
        <v>27</v>
      </c>
      <c r="D20" s="5" t="s">
        <v>188</v>
      </c>
      <c r="E20" s="5" t="s">
        <v>189</v>
      </c>
      <c r="F20" s="6" t="s">
        <v>106</v>
      </c>
      <c r="G20" s="5" t="s">
        <v>190</v>
      </c>
      <c r="H20" s="5" t="s">
        <v>191</v>
      </c>
      <c r="I20" s="5" t="s">
        <v>108</v>
      </c>
      <c r="J20" s="5" t="s">
        <v>192</v>
      </c>
      <c r="K20" s="5" t="s">
        <v>157</v>
      </c>
      <c r="L20" s="5" t="s">
        <v>193</v>
      </c>
      <c r="M20" s="5" t="s">
        <v>194</v>
      </c>
    </row>
    <row r="21" spans="1:13">
      <c r="A21" s="6">
        <v>20</v>
      </c>
      <c r="B21" s="5" t="s">
        <v>11</v>
      </c>
      <c r="C21" s="5" t="s">
        <v>27</v>
      </c>
      <c r="D21" s="5" t="s">
        <v>195</v>
      </c>
      <c r="E21" s="5" t="s">
        <v>196</v>
      </c>
      <c r="F21" s="6" t="s">
        <v>91</v>
      </c>
      <c r="G21" s="5" t="s">
        <v>197</v>
      </c>
      <c r="H21" s="5" t="s">
        <v>59</v>
      </c>
      <c r="I21" s="5" t="s">
        <v>198</v>
      </c>
      <c r="J21" s="5" t="s">
        <v>59</v>
      </c>
      <c r="K21" s="5" t="s">
        <v>157</v>
      </c>
      <c r="L21" s="5" t="s">
        <v>199</v>
      </c>
      <c r="M21" s="5" t="s">
        <v>200</v>
      </c>
    </row>
    <row r="22" spans="1:13">
      <c r="A22" s="6">
        <v>21</v>
      </c>
      <c r="B22" s="5" t="s">
        <v>11</v>
      </c>
      <c r="C22" s="5" t="s">
        <v>27</v>
      </c>
      <c r="D22" s="5" t="s">
        <v>201</v>
      </c>
      <c r="E22" s="5" t="s">
        <v>202</v>
      </c>
      <c r="F22" s="6" t="s">
        <v>106</v>
      </c>
      <c r="G22" s="5" t="s">
        <v>162</v>
      </c>
      <c r="H22" s="5" t="s">
        <v>59</v>
      </c>
      <c r="I22" s="5" t="s">
        <v>108</v>
      </c>
      <c r="J22" s="5" t="s">
        <v>59</v>
      </c>
      <c r="K22" s="5" t="s">
        <v>157</v>
      </c>
      <c r="L22" s="5" t="s">
        <v>59</v>
      </c>
      <c r="M22" s="5" t="s">
        <v>203</v>
      </c>
    </row>
    <row r="23" spans="1:13">
      <c r="A23" s="6">
        <v>22</v>
      </c>
      <c r="B23" s="5" t="s">
        <v>11</v>
      </c>
      <c r="C23" s="5" t="s">
        <v>27</v>
      </c>
      <c r="D23" s="5" t="s">
        <v>204</v>
      </c>
      <c r="E23" s="5" t="s">
        <v>205</v>
      </c>
      <c r="F23" s="6" t="s">
        <v>106</v>
      </c>
      <c r="G23" s="5" t="s">
        <v>206</v>
      </c>
      <c r="H23" s="5" t="s">
        <v>59</v>
      </c>
      <c r="I23" s="5" t="s">
        <v>108</v>
      </c>
      <c r="J23" s="5" t="s">
        <v>59</v>
      </c>
      <c r="K23" s="5" t="s">
        <v>157</v>
      </c>
      <c r="L23" s="5" t="s">
        <v>186</v>
      </c>
      <c r="M23" s="5" t="s">
        <v>59</v>
      </c>
    </row>
    <row r="24" ht="46" spans="1:13">
      <c r="A24" s="6">
        <v>23</v>
      </c>
      <c r="B24" s="5" t="s">
        <v>11</v>
      </c>
      <c r="C24" s="5" t="s">
        <v>27</v>
      </c>
      <c r="D24" s="5" t="s">
        <v>207</v>
      </c>
      <c r="E24" s="5" t="s">
        <v>208</v>
      </c>
      <c r="F24" s="6" t="s">
        <v>106</v>
      </c>
      <c r="G24" s="5" t="s">
        <v>206</v>
      </c>
      <c r="H24" s="5" t="s">
        <v>59</v>
      </c>
      <c r="I24" s="5" t="s">
        <v>108</v>
      </c>
      <c r="J24" s="5" t="s">
        <v>209</v>
      </c>
      <c r="K24" s="5" t="s">
        <v>157</v>
      </c>
      <c r="L24" s="5" t="s">
        <v>133</v>
      </c>
      <c r="M24" s="5" t="s">
        <v>210</v>
      </c>
    </row>
    <row r="25" ht="31" spans="1:13">
      <c r="A25" s="6">
        <v>24</v>
      </c>
      <c r="B25" s="5" t="s">
        <v>11</v>
      </c>
      <c r="C25" s="5" t="s">
        <v>27</v>
      </c>
      <c r="D25" s="5" t="s">
        <v>211</v>
      </c>
      <c r="E25" s="5" t="s">
        <v>212</v>
      </c>
      <c r="F25" s="6" t="s">
        <v>106</v>
      </c>
      <c r="G25" s="5" t="s">
        <v>206</v>
      </c>
      <c r="H25" s="5" t="s">
        <v>59</v>
      </c>
      <c r="I25" s="5" t="s">
        <v>108</v>
      </c>
      <c r="J25" s="5" t="s">
        <v>59</v>
      </c>
      <c r="K25" s="5" t="s">
        <v>213</v>
      </c>
      <c r="L25" s="5" t="s">
        <v>133</v>
      </c>
      <c r="M25" s="5" t="s">
        <v>214</v>
      </c>
    </row>
    <row r="26" ht="31" spans="1:13">
      <c r="A26" s="6">
        <v>25</v>
      </c>
      <c r="B26" s="5" t="s">
        <v>11</v>
      </c>
      <c r="C26" s="5" t="s">
        <v>29</v>
      </c>
      <c r="D26" s="5" t="s">
        <v>215</v>
      </c>
      <c r="E26" s="5" t="s">
        <v>216</v>
      </c>
      <c r="F26" s="6" t="s">
        <v>91</v>
      </c>
      <c r="G26" s="5" t="s">
        <v>182</v>
      </c>
      <c r="H26" s="5" t="s">
        <v>217</v>
      </c>
      <c r="I26" s="5" t="s">
        <v>218</v>
      </c>
      <c r="J26" s="5" t="s">
        <v>219</v>
      </c>
      <c r="K26" s="5" t="s">
        <v>220</v>
      </c>
      <c r="L26" s="5" t="s">
        <v>221</v>
      </c>
      <c r="M26" s="5" t="s">
        <v>222</v>
      </c>
    </row>
    <row r="27" ht="31" spans="1:13">
      <c r="A27" s="6">
        <v>26</v>
      </c>
      <c r="B27" s="5" t="s">
        <v>11</v>
      </c>
      <c r="C27" s="5" t="s">
        <v>29</v>
      </c>
      <c r="D27" s="5" t="s">
        <v>223</v>
      </c>
      <c r="E27" s="5" t="s">
        <v>224</v>
      </c>
      <c r="F27" s="6" t="s">
        <v>91</v>
      </c>
      <c r="G27" s="5" t="s">
        <v>130</v>
      </c>
      <c r="H27" s="5" t="s">
        <v>225</v>
      </c>
      <c r="I27" s="5" t="s">
        <v>226</v>
      </c>
      <c r="J27" s="5" t="s">
        <v>227</v>
      </c>
      <c r="K27" s="5" t="s">
        <v>220</v>
      </c>
      <c r="L27" s="5" t="s">
        <v>228</v>
      </c>
      <c r="M27" s="5" t="s">
        <v>59</v>
      </c>
    </row>
    <row r="28" spans="1:13">
      <c r="A28" s="6">
        <v>27</v>
      </c>
      <c r="B28" s="5" t="s">
        <v>11</v>
      </c>
      <c r="C28" s="5" t="s">
        <v>29</v>
      </c>
      <c r="D28" s="5" t="s">
        <v>229</v>
      </c>
      <c r="E28" s="5" t="s">
        <v>230</v>
      </c>
      <c r="F28" s="6" t="s">
        <v>106</v>
      </c>
      <c r="G28" s="5" t="s">
        <v>149</v>
      </c>
      <c r="H28" s="5" t="s">
        <v>59</v>
      </c>
      <c r="I28" s="5" t="s">
        <v>108</v>
      </c>
      <c r="J28" s="5" t="s">
        <v>59</v>
      </c>
      <c r="K28" s="5" t="s">
        <v>231</v>
      </c>
      <c r="L28" s="5" t="s">
        <v>228</v>
      </c>
      <c r="M28" s="5" t="s">
        <v>232</v>
      </c>
    </row>
    <row r="29" spans="1:13">
      <c r="A29" s="6">
        <v>28</v>
      </c>
      <c r="B29" s="5" t="s">
        <v>11</v>
      </c>
      <c r="C29" s="5" t="s">
        <v>29</v>
      </c>
      <c r="D29" s="5" t="s">
        <v>233</v>
      </c>
      <c r="E29" s="5" t="s">
        <v>234</v>
      </c>
      <c r="F29" s="6" t="s">
        <v>106</v>
      </c>
      <c r="G29" s="5" t="s">
        <v>235</v>
      </c>
      <c r="H29" s="5" t="s">
        <v>59</v>
      </c>
      <c r="I29" s="5" t="s">
        <v>108</v>
      </c>
      <c r="J29" s="5" t="s">
        <v>59</v>
      </c>
      <c r="K29" s="5" t="s">
        <v>231</v>
      </c>
      <c r="L29" s="5" t="s">
        <v>133</v>
      </c>
      <c r="M29" s="5" t="s">
        <v>59</v>
      </c>
    </row>
    <row r="30" ht="46" spans="1:13">
      <c r="A30" s="6">
        <v>29</v>
      </c>
      <c r="B30" s="5" t="s">
        <v>13</v>
      </c>
      <c r="C30" s="5" t="s">
        <v>31</v>
      </c>
      <c r="D30" s="5" t="s">
        <v>236</v>
      </c>
      <c r="E30" s="5" t="s">
        <v>237</v>
      </c>
      <c r="F30" s="6" t="s">
        <v>4</v>
      </c>
      <c r="G30" s="5" t="s">
        <v>130</v>
      </c>
      <c r="H30" s="5" t="s">
        <v>238</v>
      </c>
      <c r="I30" s="5" t="s">
        <v>239</v>
      </c>
      <c r="J30" s="5" t="s">
        <v>240</v>
      </c>
      <c r="K30" s="5" t="s">
        <v>241</v>
      </c>
      <c r="L30" s="5" t="s">
        <v>242</v>
      </c>
      <c r="M30" s="5" t="s">
        <v>243</v>
      </c>
    </row>
    <row r="31" spans="1:13">
      <c r="A31" s="6">
        <v>30</v>
      </c>
      <c r="B31" s="5" t="s">
        <v>13</v>
      </c>
      <c r="C31" s="5" t="s">
        <v>31</v>
      </c>
      <c r="D31" s="5" t="s">
        <v>244</v>
      </c>
      <c r="E31" s="5" t="s">
        <v>245</v>
      </c>
      <c r="F31" s="6" t="s">
        <v>91</v>
      </c>
      <c r="G31" s="5" t="s">
        <v>130</v>
      </c>
      <c r="H31" s="5" t="s">
        <v>246</v>
      </c>
      <c r="I31" s="5" t="s">
        <v>247</v>
      </c>
      <c r="J31" s="5" t="s">
        <v>248</v>
      </c>
      <c r="K31" s="5" t="s">
        <v>249</v>
      </c>
      <c r="L31" s="5" t="s">
        <v>250</v>
      </c>
      <c r="M31" s="5" t="s">
        <v>59</v>
      </c>
    </row>
    <row r="32" ht="31" spans="1:13">
      <c r="A32" s="6">
        <v>31</v>
      </c>
      <c r="B32" s="5" t="s">
        <v>13</v>
      </c>
      <c r="C32" s="5" t="s">
        <v>31</v>
      </c>
      <c r="D32" s="5" t="s">
        <v>251</v>
      </c>
      <c r="E32" s="5" t="s">
        <v>252</v>
      </c>
      <c r="F32" s="6" t="s">
        <v>4</v>
      </c>
      <c r="G32" s="5" t="s">
        <v>253</v>
      </c>
      <c r="H32" s="5" t="s">
        <v>254</v>
      </c>
      <c r="I32" s="5" t="s">
        <v>247</v>
      </c>
      <c r="J32" s="5" t="s">
        <v>255</v>
      </c>
      <c r="K32" s="5" t="s">
        <v>256</v>
      </c>
      <c r="L32" s="5" t="s">
        <v>257</v>
      </c>
      <c r="M32" s="5" t="s">
        <v>258</v>
      </c>
    </row>
    <row r="33" ht="31" spans="1:13">
      <c r="A33" s="6">
        <v>32</v>
      </c>
      <c r="B33" s="5" t="s">
        <v>13</v>
      </c>
      <c r="C33" s="5" t="s">
        <v>31</v>
      </c>
      <c r="D33" s="5" t="s">
        <v>259</v>
      </c>
      <c r="E33" s="5" t="s">
        <v>260</v>
      </c>
      <c r="F33" s="6" t="s">
        <v>5</v>
      </c>
      <c r="G33" s="5" t="s">
        <v>130</v>
      </c>
      <c r="H33" s="5" t="s">
        <v>261</v>
      </c>
      <c r="I33" s="5" t="s">
        <v>247</v>
      </c>
      <c r="J33" s="5" t="s">
        <v>262</v>
      </c>
      <c r="K33" s="5" t="s">
        <v>263</v>
      </c>
      <c r="L33" s="5" t="s">
        <v>264</v>
      </c>
      <c r="M33" s="5" t="s">
        <v>265</v>
      </c>
    </row>
    <row r="34" ht="31" spans="1:13">
      <c r="A34" s="6">
        <v>33</v>
      </c>
      <c r="B34" s="5" t="s">
        <v>13</v>
      </c>
      <c r="C34" s="5" t="s">
        <v>31</v>
      </c>
      <c r="D34" s="5" t="s">
        <v>266</v>
      </c>
      <c r="E34" s="5" t="s">
        <v>267</v>
      </c>
      <c r="F34" s="6" t="s">
        <v>4</v>
      </c>
      <c r="G34" s="5" t="s">
        <v>268</v>
      </c>
      <c r="H34" s="5" t="s">
        <v>269</v>
      </c>
      <c r="I34" s="5" t="s">
        <v>247</v>
      </c>
      <c r="J34" s="5" t="s">
        <v>270</v>
      </c>
      <c r="K34" s="5" t="s">
        <v>271</v>
      </c>
      <c r="L34" s="5" t="s">
        <v>133</v>
      </c>
      <c r="M34" s="5" t="s">
        <v>272</v>
      </c>
    </row>
    <row r="35" ht="31" spans="1:13">
      <c r="A35" s="6">
        <v>34</v>
      </c>
      <c r="B35" s="5" t="s">
        <v>13</v>
      </c>
      <c r="C35" s="5" t="s">
        <v>31</v>
      </c>
      <c r="D35" s="5" t="s">
        <v>273</v>
      </c>
      <c r="E35" s="5" t="s">
        <v>274</v>
      </c>
      <c r="F35" s="6" t="s">
        <v>106</v>
      </c>
      <c r="G35" s="5" t="s">
        <v>275</v>
      </c>
      <c r="H35" s="5" t="s">
        <v>276</v>
      </c>
      <c r="I35" s="5" t="s">
        <v>247</v>
      </c>
      <c r="J35" s="5" t="s">
        <v>277</v>
      </c>
      <c r="K35" s="5" t="s">
        <v>263</v>
      </c>
      <c r="L35" s="5" t="s">
        <v>278</v>
      </c>
      <c r="M35" s="5" t="s">
        <v>59</v>
      </c>
    </row>
    <row r="36" ht="46" spans="1:13">
      <c r="A36" s="6">
        <v>35</v>
      </c>
      <c r="B36" s="5" t="s">
        <v>13</v>
      </c>
      <c r="C36" s="5" t="s">
        <v>31</v>
      </c>
      <c r="D36" s="5" t="s">
        <v>279</v>
      </c>
      <c r="E36" s="5" t="s">
        <v>280</v>
      </c>
      <c r="F36" s="6" t="s">
        <v>4</v>
      </c>
      <c r="G36" s="5" t="s">
        <v>182</v>
      </c>
      <c r="H36" s="5" t="s">
        <v>281</v>
      </c>
      <c r="I36" s="5" t="s">
        <v>247</v>
      </c>
      <c r="J36" s="5" t="s">
        <v>282</v>
      </c>
      <c r="K36" s="5" t="s">
        <v>283</v>
      </c>
      <c r="L36" s="5" t="s">
        <v>133</v>
      </c>
      <c r="M36" s="5" t="s">
        <v>284</v>
      </c>
    </row>
    <row r="37" spans="1:13">
      <c r="A37" s="6">
        <v>36</v>
      </c>
      <c r="B37" s="5" t="s">
        <v>13</v>
      </c>
      <c r="C37" s="5" t="s">
        <v>31</v>
      </c>
      <c r="D37" s="5" t="s">
        <v>285</v>
      </c>
      <c r="E37" s="5" t="s">
        <v>286</v>
      </c>
      <c r="F37" s="6" t="s">
        <v>91</v>
      </c>
      <c r="G37" s="5" t="s">
        <v>182</v>
      </c>
      <c r="H37" s="5" t="s">
        <v>287</v>
      </c>
      <c r="I37" s="5" t="s">
        <v>247</v>
      </c>
      <c r="J37" s="5" t="s">
        <v>288</v>
      </c>
      <c r="K37" s="5" t="s">
        <v>289</v>
      </c>
      <c r="L37" s="5" t="s">
        <v>199</v>
      </c>
      <c r="M37" s="5" t="s">
        <v>290</v>
      </c>
    </row>
    <row r="38" spans="1:13">
      <c r="A38" s="6">
        <v>37</v>
      </c>
      <c r="B38" s="5" t="s">
        <v>13</v>
      </c>
      <c r="C38" s="5" t="s">
        <v>31</v>
      </c>
      <c r="D38" s="5" t="s">
        <v>291</v>
      </c>
      <c r="E38" s="5" t="s">
        <v>292</v>
      </c>
      <c r="F38" s="6" t="s">
        <v>106</v>
      </c>
      <c r="G38" s="5" t="s">
        <v>293</v>
      </c>
      <c r="H38" s="5" t="s">
        <v>294</v>
      </c>
      <c r="I38" s="5" t="s">
        <v>247</v>
      </c>
      <c r="J38" s="5" t="s">
        <v>192</v>
      </c>
      <c r="K38" s="5" t="s">
        <v>295</v>
      </c>
      <c r="L38" s="5" t="s">
        <v>296</v>
      </c>
      <c r="M38" s="5" t="s">
        <v>297</v>
      </c>
    </row>
    <row r="39" ht="31" spans="1:13">
      <c r="A39" s="6">
        <v>38</v>
      </c>
      <c r="B39" s="5" t="s">
        <v>13</v>
      </c>
      <c r="C39" s="5" t="s">
        <v>31</v>
      </c>
      <c r="D39" s="5" t="s">
        <v>298</v>
      </c>
      <c r="E39" s="5" t="s">
        <v>299</v>
      </c>
      <c r="F39" s="6" t="s">
        <v>4</v>
      </c>
      <c r="G39" s="5" t="s">
        <v>162</v>
      </c>
      <c r="H39" s="5" t="s">
        <v>300</v>
      </c>
      <c r="I39" s="5" t="s">
        <v>247</v>
      </c>
      <c r="J39" s="5" t="s">
        <v>301</v>
      </c>
      <c r="K39" s="5" t="s">
        <v>302</v>
      </c>
      <c r="L39" s="5" t="s">
        <v>303</v>
      </c>
      <c r="M39" s="5" t="s">
        <v>304</v>
      </c>
    </row>
    <row r="40" ht="31" spans="1:13">
      <c r="A40" s="6">
        <v>39</v>
      </c>
      <c r="B40" s="5" t="s">
        <v>13</v>
      </c>
      <c r="C40" s="5" t="s">
        <v>31</v>
      </c>
      <c r="D40" s="5" t="s">
        <v>305</v>
      </c>
      <c r="E40" s="5" t="s">
        <v>306</v>
      </c>
      <c r="F40" s="6" t="s">
        <v>5</v>
      </c>
      <c r="G40" s="5" t="s">
        <v>83</v>
      </c>
      <c r="H40" s="5" t="s">
        <v>92</v>
      </c>
      <c r="I40" s="5" t="s">
        <v>307</v>
      </c>
      <c r="J40" s="5" t="s">
        <v>308</v>
      </c>
      <c r="K40" s="5" t="s">
        <v>309</v>
      </c>
      <c r="L40" s="5" t="s">
        <v>264</v>
      </c>
      <c r="M40" s="5" t="s">
        <v>310</v>
      </c>
    </row>
    <row r="41" ht="31" spans="1:13">
      <c r="A41" s="6">
        <v>40</v>
      </c>
      <c r="B41" s="5" t="s">
        <v>13</v>
      </c>
      <c r="C41" s="5" t="s">
        <v>31</v>
      </c>
      <c r="D41" s="5" t="s">
        <v>311</v>
      </c>
      <c r="E41" s="5" t="s">
        <v>312</v>
      </c>
      <c r="F41" s="6" t="s">
        <v>5</v>
      </c>
      <c r="G41" s="5" t="s">
        <v>83</v>
      </c>
      <c r="H41" s="5" t="s">
        <v>92</v>
      </c>
      <c r="I41" s="5" t="s">
        <v>307</v>
      </c>
      <c r="J41" s="5" t="s">
        <v>313</v>
      </c>
      <c r="K41" s="5" t="s">
        <v>314</v>
      </c>
      <c r="L41" s="5" t="s">
        <v>315</v>
      </c>
      <c r="M41" s="5" t="s">
        <v>316</v>
      </c>
    </row>
    <row r="42" ht="31" spans="1:13">
      <c r="A42" s="6">
        <v>41</v>
      </c>
      <c r="B42" s="5" t="s">
        <v>13</v>
      </c>
      <c r="C42" s="5" t="s">
        <v>31</v>
      </c>
      <c r="D42" s="5" t="s">
        <v>317</v>
      </c>
      <c r="E42" s="5" t="s">
        <v>318</v>
      </c>
      <c r="F42" s="6" t="s">
        <v>5</v>
      </c>
      <c r="G42" s="5" t="s">
        <v>319</v>
      </c>
      <c r="H42" s="5" t="s">
        <v>59</v>
      </c>
      <c r="I42" s="5" t="s">
        <v>247</v>
      </c>
      <c r="J42" s="5" t="s">
        <v>320</v>
      </c>
      <c r="K42" s="5" t="s">
        <v>314</v>
      </c>
      <c r="L42" s="5" t="s">
        <v>321</v>
      </c>
      <c r="M42" s="5" t="s">
        <v>322</v>
      </c>
    </row>
    <row r="43" spans="1:13">
      <c r="A43" s="6">
        <v>42</v>
      </c>
      <c r="B43" s="5" t="s">
        <v>13</v>
      </c>
      <c r="C43" s="5" t="s">
        <v>31</v>
      </c>
      <c r="D43" s="5" t="s">
        <v>323</v>
      </c>
      <c r="E43" s="5" t="s">
        <v>324</v>
      </c>
      <c r="F43" s="6" t="s">
        <v>5</v>
      </c>
      <c r="G43" s="5" t="s">
        <v>130</v>
      </c>
      <c r="H43" s="5" t="s">
        <v>59</v>
      </c>
      <c r="I43" s="5" t="s">
        <v>247</v>
      </c>
      <c r="J43" s="5" t="s">
        <v>59</v>
      </c>
      <c r="K43" s="5" t="s">
        <v>314</v>
      </c>
      <c r="L43" s="5" t="s">
        <v>321</v>
      </c>
      <c r="M43" s="5" t="s">
        <v>59</v>
      </c>
    </row>
    <row r="44" ht="31" spans="1:13">
      <c r="A44" s="6">
        <v>43</v>
      </c>
      <c r="B44" s="5" t="s">
        <v>13</v>
      </c>
      <c r="C44" s="5" t="s">
        <v>31</v>
      </c>
      <c r="D44" s="5" t="s">
        <v>325</v>
      </c>
      <c r="E44" s="5" t="s">
        <v>326</v>
      </c>
      <c r="F44" s="6" t="s">
        <v>5</v>
      </c>
      <c r="G44" s="5" t="s">
        <v>327</v>
      </c>
      <c r="H44" s="5" t="s">
        <v>59</v>
      </c>
      <c r="I44" s="5" t="s">
        <v>328</v>
      </c>
      <c r="J44" s="5" t="s">
        <v>61</v>
      </c>
      <c r="K44" s="5" t="s">
        <v>314</v>
      </c>
      <c r="L44" s="5" t="s">
        <v>321</v>
      </c>
      <c r="M44" s="5" t="s">
        <v>329</v>
      </c>
    </row>
    <row r="45" spans="1:13">
      <c r="A45" s="6">
        <v>44</v>
      </c>
      <c r="B45" s="5" t="s">
        <v>13</v>
      </c>
      <c r="C45" s="5" t="s">
        <v>31</v>
      </c>
      <c r="D45" s="5" t="s">
        <v>330</v>
      </c>
      <c r="E45" s="5" t="s">
        <v>331</v>
      </c>
      <c r="F45" s="6" t="s">
        <v>91</v>
      </c>
      <c r="G45" s="5" t="s">
        <v>162</v>
      </c>
      <c r="H45" s="5" t="s">
        <v>59</v>
      </c>
      <c r="I45" s="5" t="s">
        <v>247</v>
      </c>
      <c r="J45" s="5" t="s">
        <v>59</v>
      </c>
      <c r="K45" s="5" t="s">
        <v>302</v>
      </c>
      <c r="L45" s="5" t="s">
        <v>264</v>
      </c>
      <c r="M45" s="5" t="s">
        <v>59</v>
      </c>
    </row>
    <row r="46" ht="31" spans="1:13">
      <c r="A46" s="6">
        <v>45</v>
      </c>
      <c r="B46" s="5" t="s">
        <v>13</v>
      </c>
      <c r="C46" s="5" t="s">
        <v>31</v>
      </c>
      <c r="D46" s="5" t="s">
        <v>332</v>
      </c>
      <c r="E46" s="5" t="s">
        <v>333</v>
      </c>
      <c r="F46" s="6" t="s">
        <v>91</v>
      </c>
      <c r="G46" s="5" t="s">
        <v>334</v>
      </c>
      <c r="H46" s="5" t="s">
        <v>59</v>
      </c>
      <c r="I46" s="5" t="s">
        <v>247</v>
      </c>
      <c r="J46" s="5" t="s">
        <v>59</v>
      </c>
      <c r="K46" s="5" t="s">
        <v>335</v>
      </c>
      <c r="L46" s="5" t="s">
        <v>133</v>
      </c>
      <c r="M46" s="5" t="s">
        <v>336</v>
      </c>
    </row>
    <row r="47" ht="31" spans="1:13">
      <c r="A47" s="6">
        <v>46</v>
      </c>
      <c r="B47" s="5" t="s">
        <v>13</v>
      </c>
      <c r="C47" s="5" t="s">
        <v>31</v>
      </c>
      <c r="D47" s="5" t="s">
        <v>337</v>
      </c>
      <c r="E47" s="5" t="s">
        <v>338</v>
      </c>
      <c r="F47" s="6" t="s">
        <v>4</v>
      </c>
      <c r="G47" s="5" t="s">
        <v>339</v>
      </c>
      <c r="H47" s="5" t="s">
        <v>340</v>
      </c>
      <c r="I47" s="5" t="s">
        <v>247</v>
      </c>
      <c r="J47" s="5" t="s">
        <v>341</v>
      </c>
      <c r="K47" s="5" t="s">
        <v>342</v>
      </c>
      <c r="L47" s="5" t="s">
        <v>133</v>
      </c>
      <c r="M47" s="5" t="s">
        <v>59</v>
      </c>
    </row>
    <row r="48" spans="1:13">
      <c r="A48" s="6">
        <v>47</v>
      </c>
      <c r="B48" s="5" t="s">
        <v>13</v>
      </c>
      <c r="C48" s="5" t="s">
        <v>31</v>
      </c>
      <c r="D48" s="5" t="s">
        <v>343</v>
      </c>
      <c r="E48" s="5" t="s">
        <v>344</v>
      </c>
      <c r="F48" s="6" t="s">
        <v>4</v>
      </c>
      <c r="G48" s="5" t="s">
        <v>345</v>
      </c>
      <c r="H48" s="5" t="s">
        <v>340</v>
      </c>
      <c r="I48" s="5" t="s">
        <v>247</v>
      </c>
      <c r="J48" s="5" t="s">
        <v>341</v>
      </c>
      <c r="K48" s="5" t="s">
        <v>346</v>
      </c>
      <c r="L48" s="5" t="s">
        <v>133</v>
      </c>
      <c r="M48" s="5" t="s">
        <v>59</v>
      </c>
    </row>
    <row r="49" spans="1:13">
      <c r="A49" s="6">
        <v>48</v>
      </c>
      <c r="B49" s="5" t="s">
        <v>13</v>
      </c>
      <c r="C49" s="5" t="s">
        <v>31</v>
      </c>
      <c r="D49" s="5" t="s">
        <v>347</v>
      </c>
      <c r="E49" s="5" t="s">
        <v>348</v>
      </c>
      <c r="F49" s="6" t="s">
        <v>4</v>
      </c>
      <c r="G49" s="5" t="s">
        <v>349</v>
      </c>
      <c r="H49" s="5" t="s">
        <v>350</v>
      </c>
      <c r="I49" s="5" t="s">
        <v>247</v>
      </c>
      <c r="J49" s="5" t="s">
        <v>151</v>
      </c>
      <c r="K49" s="5" t="s">
        <v>346</v>
      </c>
      <c r="L49" s="5" t="s">
        <v>133</v>
      </c>
      <c r="M49" s="5" t="s">
        <v>59</v>
      </c>
    </row>
    <row r="50" spans="1:13">
      <c r="A50" s="6">
        <v>49</v>
      </c>
      <c r="B50" s="5" t="s">
        <v>13</v>
      </c>
      <c r="C50" s="5" t="s">
        <v>31</v>
      </c>
      <c r="D50" s="5" t="s">
        <v>351</v>
      </c>
      <c r="E50" s="5" t="s">
        <v>352</v>
      </c>
      <c r="F50" s="6" t="s">
        <v>4</v>
      </c>
      <c r="G50" s="5" t="s">
        <v>353</v>
      </c>
      <c r="H50" s="5" t="s">
        <v>59</v>
      </c>
      <c r="I50" s="5" t="s">
        <v>247</v>
      </c>
      <c r="J50" s="5" t="s">
        <v>354</v>
      </c>
      <c r="K50" s="5" t="s">
        <v>355</v>
      </c>
      <c r="L50" s="5" t="s">
        <v>133</v>
      </c>
      <c r="M50" s="5" t="s">
        <v>356</v>
      </c>
    </row>
    <row r="51" spans="1:13">
      <c r="A51" s="6">
        <v>50</v>
      </c>
      <c r="B51" s="5" t="s">
        <v>13</v>
      </c>
      <c r="C51" s="5" t="s">
        <v>31</v>
      </c>
      <c r="D51" s="5" t="s">
        <v>357</v>
      </c>
      <c r="E51" s="5" t="s">
        <v>358</v>
      </c>
      <c r="F51" s="6" t="s">
        <v>91</v>
      </c>
      <c r="G51" s="5" t="s">
        <v>349</v>
      </c>
      <c r="H51" s="5" t="s">
        <v>350</v>
      </c>
      <c r="I51" s="5" t="s">
        <v>247</v>
      </c>
      <c r="J51" s="5" t="s">
        <v>59</v>
      </c>
      <c r="K51" s="5" t="s">
        <v>346</v>
      </c>
      <c r="L51" s="5" t="s">
        <v>133</v>
      </c>
      <c r="M51" s="5" t="s">
        <v>59</v>
      </c>
    </row>
    <row r="52" spans="1:13">
      <c r="A52" s="6">
        <v>51</v>
      </c>
      <c r="B52" s="5" t="s">
        <v>13</v>
      </c>
      <c r="C52" s="5" t="s">
        <v>31</v>
      </c>
      <c r="D52" s="5" t="s">
        <v>359</v>
      </c>
      <c r="E52" s="5" t="s">
        <v>360</v>
      </c>
      <c r="F52" s="6" t="s">
        <v>91</v>
      </c>
      <c r="G52" s="5" t="s">
        <v>130</v>
      </c>
      <c r="H52" s="5" t="s">
        <v>59</v>
      </c>
      <c r="I52" s="5" t="s">
        <v>247</v>
      </c>
      <c r="J52" s="5" t="s">
        <v>59</v>
      </c>
      <c r="K52" s="5" t="s">
        <v>346</v>
      </c>
      <c r="L52" s="5" t="s">
        <v>133</v>
      </c>
      <c r="M52" s="5" t="s">
        <v>59</v>
      </c>
    </row>
    <row r="53" spans="1:13">
      <c r="A53" s="6">
        <v>52</v>
      </c>
      <c r="B53" s="5" t="s">
        <v>13</v>
      </c>
      <c r="C53" s="5" t="s">
        <v>31</v>
      </c>
      <c r="D53" s="5" t="s">
        <v>361</v>
      </c>
      <c r="E53" s="5" t="s">
        <v>362</v>
      </c>
      <c r="F53" s="6" t="s">
        <v>91</v>
      </c>
      <c r="G53" s="5" t="s">
        <v>363</v>
      </c>
      <c r="H53" s="5" t="s">
        <v>364</v>
      </c>
      <c r="I53" s="5" t="s">
        <v>247</v>
      </c>
      <c r="J53" s="5" t="s">
        <v>365</v>
      </c>
      <c r="K53" s="5" t="s">
        <v>346</v>
      </c>
      <c r="L53" s="5" t="s">
        <v>366</v>
      </c>
      <c r="M53" s="5" t="s">
        <v>367</v>
      </c>
    </row>
    <row r="54" ht="31" spans="1:13">
      <c r="A54" s="6">
        <v>53</v>
      </c>
      <c r="B54" s="5" t="s">
        <v>13</v>
      </c>
      <c r="C54" s="5" t="s">
        <v>31</v>
      </c>
      <c r="D54" s="5" t="s">
        <v>368</v>
      </c>
      <c r="E54" s="5" t="s">
        <v>369</v>
      </c>
      <c r="F54" s="6" t="s">
        <v>91</v>
      </c>
      <c r="G54" s="5" t="s">
        <v>370</v>
      </c>
      <c r="H54" s="5" t="s">
        <v>59</v>
      </c>
      <c r="I54" s="5" t="s">
        <v>247</v>
      </c>
      <c r="J54" s="5" t="s">
        <v>59</v>
      </c>
      <c r="K54" s="5" t="s">
        <v>371</v>
      </c>
      <c r="L54" s="5" t="s">
        <v>133</v>
      </c>
      <c r="M54" s="5" t="s">
        <v>59</v>
      </c>
    </row>
    <row r="55" ht="31" spans="1:13">
      <c r="A55" s="6">
        <v>54</v>
      </c>
      <c r="B55" s="5" t="s">
        <v>13</v>
      </c>
      <c r="C55" s="5" t="s">
        <v>31</v>
      </c>
      <c r="D55" s="5" t="s">
        <v>372</v>
      </c>
      <c r="E55" s="5" t="s">
        <v>373</v>
      </c>
      <c r="F55" s="6" t="s">
        <v>91</v>
      </c>
      <c r="G55" s="5" t="s">
        <v>374</v>
      </c>
      <c r="H55" s="5" t="s">
        <v>107</v>
      </c>
      <c r="I55" s="5" t="s">
        <v>247</v>
      </c>
      <c r="J55" s="5" t="s">
        <v>375</v>
      </c>
      <c r="K55" s="5" t="s">
        <v>376</v>
      </c>
      <c r="L55" s="5" t="s">
        <v>377</v>
      </c>
      <c r="M55" s="5" t="s">
        <v>378</v>
      </c>
    </row>
    <row r="56" ht="31" spans="1:13">
      <c r="A56" s="6">
        <v>55</v>
      </c>
      <c r="B56" s="5" t="s">
        <v>13</v>
      </c>
      <c r="C56" s="5" t="s">
        <v>31</v>
      </c>
      <c r="D56" s="5" t="s">
        <v>379</v>
      </c>
      <c r="E56" s="5" t="s">
        <v>380</v>
      </c>
      <c r="F56" s="6" t="s">
        <v>91</v>
      </c>
      <c r="G56" s="5" t="s">
        <v>162</v>
      </c>
      <c r="H56" s="5" t="s">
        <v>59</v>
      </c>
      <c r="I56" s="5" t="s">
        <v>247</v>
      </c>
      <c r="J56" s="5" t="s">
        <v>381</v>
      </c>
      <c r="K56" s="5" t="s">
        <v>382</v>
      </c>
      <c r="L56" s="5" t="s">
        <v>383</v>
      </c>
      <c r="M56" s="5" t="s">
        <v>384</v>
      </c>
    </row>
    <row r="57" spans="1:13">
      <c r="A57" s="6">
        <v>56</v>
      </c>
      <c r="B57" s="5" t="s">
        <v>13</v>
      </c>
      <c r="C57" s="5" t="s">
        <v>31</v>
      </c>
      <c r="D57" s="5" t="s">
        <v>385</v>
      </c>
      <c r="E57" s="5" t="s">
        <v>386</v>
      </c>
      <c r="F57" s="6" t="s">
        <v>106</v>
      </c>
      <c r="G57" s="5" t="s">
        <v>149</v>
      </c>
      <c r="H57" s="5" t="s">
        <v>59</v>
      </c>
      <c r="I57" s="5" t="s">
        <v>108</v>
      </c>
      <c r="J57" s="5" t="s">
        <v>59</v>
      </c>
      <c r="K57" s="5" t="s">
        <v>387</v>
      </c>
      <c r="L57" s="5" t="s">
        <v>388</v>
      </c>
      <c r="M57" s="5" t="s">
        <v>59</v>
      </c>
    </row>
    <row r="58" ht="31" spans="1:13">
      <c r="A58" s="6">
        <v>57</v>
      </c>
      <c r="B58" s="5" t="s">
        <v>13</v>
      </c>
      <c r="C58" s="5" t="s">
        <v>31</v>
      </c>
      <c r="D58" s="5" t="s">
        <v>389</v>
      </c>
      <c r="E58" s="5" t="s">
        <v>390</v>
      </c>
      <c r="F58" s="6" t="s">
        <v>4</v>
      </c>
      <c r="G58" s="5" t="s">
        <v>391</v>
      </c>
      <c r="H58" s="5" t="s">
        <v>59</v>
      </c>
      <c r="I58" s="5" t="s">
        <v>247</v>
      </c>
      <c r="J58" s="5" t="s">
        <v>100</v>
      </c>
      <c r="K58" s="5" t="s">
        <v>392</v>
      </c>
      <c r="L58" s="5" t="s">
        <v>102</v>
      </c>
      <c r="M58" s="5" t="s">
        <v>393</v>
      </c>
    </row>
    <row r="59" ht="31" spans="1:13">
      <c r="A59" s="6">
        <v>58</v>
      </c>
      <c r="B59" s="5" t="s">
        <v>13</v>
      </c>
      <c r="C59" s="5" t="s">
        <v>31</v>
      </c>
      <c r="D59" s="5" t="s">
        <v>394</v>
      </c>
      <c r="E59" s="5" t="s">
        <v>395</v>
      </c>
      <c r="F59" s="6" t="s">
        <v>106</v>
      </c>
      <c r="G59" s="5" t="s">
        <v>396</v>
      </c>
      <c r="H59" s="5" t="s">
        <v>397</v>
      </c>
      <c r="I59" s="5" t="s">
        <v>398</v>
      </c>
      <c r="J59" s="5" t="s">
        <v>399</v>
      </c>
      <c r="K59" s="5" t="s">
        <v>392</v>
      </c>
      <c r="L59" s="5" t="s">
        <v>400</v>
      </c>
      <c r="M59" s="5" t="s">
        <v>401</v>
      </c>
    </row>
    <row r="60" ht="31" spans="1:13">
      <c r="A60" s="6">
        <v>59</v>
      </c>
      <c r="B60" s="5" t="s">
        <v>15</v>
      </c>
      <c r="C60" s="5" t="s">
        <v>16</v>
      </c>
      <c r="D60" s="5" t="s">
        <v>402</v>
      </c>
      <c r="E60" s="5" t="s">
        <v>403</v>
      </c>
      <c r="F60" s="6" t="s">
        <v>4</v>
      </c>
      <c r="G60" s="5" t="s">
        <v>67</v>
      </c>
      <c r="H60" s="5" t="s">
        <v>404</v>
      </c>
      <c r="I60" s="5" t="s">
        <v>405</v>
      </c>
      <c r="J60" s="5" t="s">
        <v>406</v>
      </c>
      <c r="K60" s="5" t="s">
        <v>86</v>
      </c>
      <c r="L60" s="5" t="s">
        <v>407</v>
      </c>
      <c r="M60" s="5" t="s">
        <v>408</v>
      </c>
    </row>
    <row r="61" ht="31" spans="1:13">
      <c r="A61" s="6">
        <v>60</v>
      </c>
      <c r="B61" s="5" t="s">
        <v>15</v>
      </c>
      <c r="C61" s="5" t="s">
        <v>16</v>
      </c>
      <c r="D61" s="5" t="s">
        <v>409</v>
      </c>
      <c r="E61" s="5" t="s">
        <v>410</v>
      </c>
      <c r="F61" s="6" t="s">
        <v>91</v>
      </c>
      <c r="G61" s="5" t="s">
        <v>67</v>
      </c>
      <c r="H61" s="5" t="s">
        <v>288</v>
      </c>
      <c r="I61" s="5" t="s">
        <v>411</v>
      </c>
      <c r="J61" s="5" t="s">
        <v>412</v>
      </c>
      <c r="K61" s="5" t="s">
        <v>413</v>
      </c>
      <c r="L61" s="5" t="s">
        <v>414</v>
      </c>
      <c r="M61" s="5" t="s">
        <v>415</v>
      </c>
    </row>
    <row r="62" spans="1:13">
      <c r="A62" s="6">
        <v>61</v>
      </c>
      <c r="B62" s="5" t="s">
        <v>15</v>
      </c>
      <c r="C62" s="5" t="s">
        <v>16</v>
      </c>
      <c r="D62" s="5" t="s">
        <v>416</v>
      </c>
      <c r="E62" s="5" t="s">
        <v>417</v>
      </c>
      <c r="F62" s="6" t="s">
        <v>91</v>
      </c>
      <c r="G62" s="5" t="s">
        <v>83</v>
      </c>
      <c r="H62" s="5" t="s">
        <v>92</v>
      </c>
      <c r="I62" s="5" t="s">
        <v>418</v>
      </c>
      <c r="J62" s="5" t="s">
        <v>419</v>
      </c>
      <c r="K62" s="5" t="s">
        <v>420</v>
      </c>
      <c r="L62" s="5" t="s">
        <v>421</v>
      </c>
      <c r="M62" s="5" t="s">
        <v>422</v>
      </c>
    </row>
    <row r="63" ht="31" spans="1:13">
      <c r="A63" s="6">
        <v>62</v>
      </c>
      <c r="B63" s="5" t="s">
        <v>15</v>
      </c>
      <c r="C63" s="5" t="s">
        <v>16</v>
      </c>
      <c r="D63" s="5" t="s">
        <v>423</v>
      </c>
      <c r="E63" s="5" t="s">
        <v>424</v>
      </c>
      <c r="F63" s="6" t="s">
        <v>91</v>
      </c>
      <c r="G63" s="5" t="s">
        <v>67</v>
      </c>
      <c r="H63" s="5" t="s">
        <v>288</v>
      </c>
      <c r="I63" s="5" t="s">
        <v>411</v>
      </c>
      <c r="J63" s="5" t="s">
        <v>419</v>
      </c>
      <c r="K63" s="5" t="s">
        <v>86</v>
      </c>
      <c r="L63" s="5" t="s">
        <v>425</v>
      </c>
      <c r="M63" s="5" t="s">
        <v>59</v>
      </c>
    </row>
    <row r="64" ht="31" spans="1:13">
      <c r="A64" s="6">
        <v>63</v>
      </c>
      <c r="B64" s="5" t="s">
        <v>15</v>
      </c>
      <c r="C64" s="5" t="s">
        <v>16</v>
      </c>
      <c r="D64" s="5" t="s">
        <v>426</v>
      </c>
      <c r="E64" s="5" t="s">
        <v>427</v>
      </c>
      <c r="F64" s="6" t="s">
        <v>5</v>
      </c>
      <c r="G64" s="5" t="s">
        <v>83</v>
      </c>
      <c r="H64" s="5" t="s">
        <v>92</v>
      </c>
      <c r="I64" s="5" t="s">
        <v>428</v>
      </c>
      <c r="J64" s="5" t="s">
        <v>61</v>
      </c>
      <c r="K64" s="5" t="s">
        <v>314</v>
      </c>
      <c r="L64" s="5" t="s">
        <v>87</v>
      </c>
      <c r="M64" s="5" t="s">
        <v>429</v>
      </c>
    </row>
    <row r="65" ht="31" spans="1:13">
      <c r="A65" s="6">
        <v>64</v>
      </c>
      <c r="B65" s="5" t="s">
        <v>15</v>
      </c>
      <c r="C65" s="5" t="s">
        <v>16</v>
      </c>
      <c r="D65" s="5" t="s">
        <v>430</v>
      </c>
      <c r="E65" s="5" t="s">
        <v>431</v>
      </c>
      <c r="F65" s="6" t="s">
        <v>106</v>
      </c>
      <c r="G65" s="5" t="s">
        <v>432</v>
      </c>
      <c r="H65" s="5" t="s">
        <v>92</v>
      </c>
      <c r="I65" s="5" t="s">
        <v>108</v>
      </c>
      <c r="J65" s="5" t="s">
        <v>61</v>
      </c>
      <c r="K65" s="5" t="s">
        <v>433</v>
      </c>
      <c r="L65" s="5" t="s">
        <v>434</v>
      </c>
      <c r="M65" s="5" t="s">
        <v>59</v>
      </c>
    </row>
    <row r="66" ht="31" spans="1:13">
      <c r="A66" s="6">
        <v>65</v>
      </c>
      <c r="B66" s="5" t="s">
        <v>15</v>
      </c>
      <c r="C66" s="5" t="s">
        <v>16</v>
      </c>
      <c r="D66" s="5" t="s">
        <v>435</v>
      </c>
      <c r="E66" s="5" t="s">
        <v>436</v>
      </c>
      <c r="F66" s="6" t="s">
        <v>108</v>
      </c>
      <c r="G66" s="5" t="s">
        <v>114</v>
      </c>
      <c r="H66" s="5" t="s">
        <v>92</v>
      </c>
      <c r="I66" s="5" t="s">
        <v>437</v>
      </c>
      <c r="J66" s="5" t="s">
        <v>61</v>
      </c>
      <c r="K66" s="5" t="s">
        <v>86</v>
      </c>
      <c r="L66" s="5" t="s">
        <v>117</v>
      </c>
      <c r="M66" s="5" t="s">
        <v>438</v>
      </c>
    </row>
    <row r="67" spans="1:13">
      <c r="A67" s="6">
        <v>66</v>
      </c>
      <c r="B67" s="5" t="s">
        <v>15</v>
      </c>
      <c r="C67" s="5" t="s">
        <v>16</v>
      </c>
      <c r="D67" s="5" t="s">
        <v>439</v>
      </c>
      <c r="E67" s="5" t="s">
        <v>440</v>
      </c>
      <c r="F67" s="6" t="s">
        <v>106</v>
      </c>
      <c r="G67" s="5" t="s">
        <v>432</v>
      </c>
      <c r="H67" s="5" t="s">
        <v>92</v>
      </c>
      <c r="I67" s="5" t="s">
        <v>108</v>
      </c>
      <c r="J67" s="5" t="s">
        <v>61</v>
      </c>
      <c r="K67" s="5" t="s">
        <v>433</v>
      </c>
      <c r="L67" s="5" t="s">
        <v>441</v>
      </c>
      <c r="M67" s="5" t="s">
        <v>59</v>
      </c>
    </row>
    <row r="68" ht="31" spans="1:13">
      <c r="A68" s="6">
        <v>67</v>
      </c>
      <c r="B68" s="5" t="s">
        <v>15</v>
      </c>
      <c r="C68" s="5" t="s">
        <v>16</v>
      </c>
      <c r="D68" s="5" t="s">
        <v>442</v>
      </c>
      <c r="E68" s="5" t="s">
        <v>443</v>
      </c>
      <c r="F68" s="6" t="s">
        <v>4</v>
      </c>
      <c r="G68" s="5" t="s">
        <v>58</v>
      </c>
      <c r="H68" s="5" t="s">
        <v>59</v>
      </c>
      <c r="I68" s="5" t="s">
        <v>444</v>
      </c>
      <c r="J68" s="5" t="s">
        <v>445</v>
      </c>
      <c r="K68" s="5" t="s">
        <v>446</v>
      </c>
      <c r="L68" s="5" t="s">
        <v>199</v>
      </c>
      <c r="M68" s="5" t="s">
        <v>447</v>
      </c>
    </row>
    <row r="69" spans="1:13">
      <c r="A69" s="6">
        <v>68</v>
      </c>
      <c r="B69" s="5" t="s">
        <v>15</v>
      </c>
      <c r="C69" s="5" t="s">
        <v>16</v>
      </c>
      <c r="D69" s="5" t="s">
        <v>448</v>
      </c>
      <c r="E69" s="5" t="s">
        <v>449</v>
      </c>
      <c r="F69" s="6" t="s">
        <v>91</v>
      </c>
      <c r="G69" s="5" t="s">
        <v>374</v>
      </c>
      <c r="H69" s="5" t="s">
        <v>59</v>
      </c>
      <c r="I69" s="5" t="s">
        <v>450</v>
      </c>
      <c r="J69" s="5" t="s">
        <v>451</v>
      </c>
      <c r="K69" s="5" t="s">
        <v>452</v>
      </c>
      <c r="L69" s="5" t="s">
        <v>199</v>
      </c>
      <c r="M69" s="5" t="s">
        <v>453</v>
      </c>
    </row>
    <row r="70" ht="31" spans="1:13">
      <c r="A70" s="6">
        <v>69</v>
      </c>
      <c r="B70" s="5" t="s">
        <v>17</v>
      </c>
      <c r="C70" s="5" t="s">
        <v>18</v>
      </c>
      <c r="D70" s="5" t="s">
        <v>454</v>
      </c>
      <c r="E70" s="5" t="s">
        <v>455</v>
      </c>
      <c r="F70" s="6" t="s">
        <v>4</v>
      </c>
      <c r="G70" s="5" t="s">
        <v>130</v>
      </c>
      <c r="H70" s="5" t="s">
        <v>59</v>
      </c>
      <c r="I70" s="5" t="s">
        <v>456</v>
      </c>
      <c r="J70" s="5" t="s">
        <v>227</v>
      </c>
      <c r="K70" s="5" t="s">
        <v>457</v>
      </c>
      <c r="L70" s="5" t="s">
        <v>458</v>
      </c>
      <c r="M70" s="5" t="s">
        <v>59</v>
      </c>
    </row>
    <row r="71" ht="31" spans="1:13">
      <c r="A71" s="6">
        <v>70</v>
      </c>
      <c r="B71" s="5" t="s">
        <v>17</v>
      </c>
      <c r="C71" s="5" t="s">
        <v>18</v>
      </c>
      <c r="D71" s="5" t="s">
        <v>459</v>
      </c>
      <c r="E71" s="5" t="s">
        <v>460</v>
      </c>
      <c r="F71" s="6" t="s">
        <v>4</v>
      </c>
      <c r="G71" s="5" t="s">
        <v>162</v>
      </c>
      <c r="H71" s="5" t="s">
        <v>300</v>
      </c>
      <c r="I71" s="5" t="s">
        <v>456</v>
      </c>
      <c r="J71" s="5" t="s">
        <v>301</v>
      </c>
      <c r="K71" s="5" t="s">
        <v>461</v>
      </c>
      <c r="L71" s="5" t="s">
        <v>458</v>
      </c>
      <c r="M71" s="5" t="s">
        <v>59</v>
      </c>
    </row>
    <row r="72" ht="31" spans="1:13">
      <c r="A72" s="6">
        <v>71</v>
      </c>
      <c r="B72" s="5" t="s">
        <v>17</v>
      </c>
      <c r="C72" s="5" t="s">
        <v>18</v>
      </c>
      <c r="D72" s="5" t="s">
        <v>462</v>
      </c>
      <c r="E72" s="5" t="s">
        <v>463</v>
      </c>
      <c r="F72" s="6" t="s">
        <v>4</v>
      </c>
      <c r="G72" s="5" t="s">
        <v>182</v>
      </c>
      <c r="H72" s="5" t="s">
        <v>464</v>
      </c>
      <c r="I72" s="5" t="s">
        <v>456</v>
      </c>
      <c r="J72" s="5" t="s">
        <v>219</v>
      </c>
      <c r="K72" s="5" t="s">
        <v>465</v>
      </c>
      <c r="L72" s="5" t="s">
        <v>466</v>
      </c>
      <c r="M72" s="5" t="s">
        <v>467</v>
      </c>
    </row>
    <row r="73" spans="1:13">
      <c r="A73" s="6">
        <v>72</v>
      </c>
      <c r="B73" s="5" t="s">
        <v>17</v>
      </c>
      <c r="C73" s="5" t="s">
        <v>18</v>
      </c>
      <c r="D73" s="5" t="s">
        <v>468</v>
      </c>
      <c r="E73" s="5" t="s">
        <v>469</v>
      </c>
      <c r="F73" s="6" t="s">
        <v>91</v>
      </c>
      <c r="G73" s="5" t="s">
        <v>349</v>
      </c>
      <c r="H73" s="5" t="s">
        <v>470</v>
      </c>
      <c r="I73" s="5" t="s">
        <v>456</v>
      </c>
      <c r="J73" s="5" t="s">
        <v>151</v>
      </c>
      <c r="K73" s="5" t="s">
        <v>471</v>
      </c>
      <c r="L73" s="5" t="s">
        <v>458</v>
      </c>
      <c r="M73" s="5" t="s">
        <v>59</v>
      </c>
    </row>
    <row r="74" spans="1:13">
      <c r="A74" s="6">
        <v>73</v>
      </c>
      <c r="B74" s="5" t="s">
        <v>17</v>
      </c>
      <c r="C74" s="5" t="s">
        <v>18</v>
      </c>
      <c r="D74" s="5" t="s">
        <v>472</v>
      </c>
      <c r="E74" s="5" t="s">
        <v>473</v>
      </c>
      <c r="F74" s="6" t="s">
        <v>4</v>
      </c>
      <c r="G74" s="5" t="s">
        <v>474</v>
      </c>
      <c r="H74" s="5" t="s">
        <v>475</v>
      </c>
      <c r="I74" s="5" t="s">
        <v>456</v>
      </c>
      <c r="J74" s="5" t="s">
        <v>476</v>
      </c>
      <c r="K74" s="5" t="s">
        <v>477</v>
      </c>
      <c r="L74" s="5" t="s">
        <v>458</v>
      </c>
      <c r="M74" s="5" t="s">
        <v>478</v>
      </c>
    </row>
    <row r="75" ht="31" spans="1:13">
      <c r="A75" s="6">
        <v>74</v>
      </c>
      <c r="B75" s="5" t="s">
        <v>17</v>
      </c>
      <c r="C75" s="5" t="s">
        <v>18</v>
      </c>
      <c r="D75" s="5" t="s">
        <v>479</v>
      </c>
      <c r="E75" s="5" t="s">
        <v>480</v>
      </c>
      <c r="F75" s="6" t="s">
        <v>106</v>
      </c>
      <c r="G75" s="5" t="s">
        <v>374</v>
      </c>
      <c r="H75" s="5" t="s">
        <v>481</v>
      </c>
      <c r="I75" s="5" t="s">
        <v>456</v>
      </c>
      <c r="J75" s="5" t="s">
        <v>451</v>
      </c>
      <c r="K75" s="5" t="s">
        <v>482</v>
      </c>
      <c r="L75" s="5" t="s">
        <v>483</v>
      </c>
      <c r="M75" s="5" t="s">
        <v>484</v>
      </c>
    </row>
    <row r="76" spans="1:13">
      <c r="A76" s="6">
        <v>75</v>
      </c>
      <c r="B76" s="5" t="s">
        <v>17</v>
      </c>
      <c r="C76" s="5" t="s">
        <v>18</v>
      </c>
      <c r="D76" s="5" t="s">
        <v>485</v>
      </c>
      <c r="E76" s="5" t="s">
        <v>486</v>
      </c>
      <c r="F76" s="6" t="s">
        <v>106</v>
      </c>
      <c r="G76" s="5" t="s">
        <v>206</v>
      </c>
      <c r="H76" s="5" t="s">
        <v>487</v>
      </c>
      <c r="I76" s="5" t="s">
        <v>488</v>
      </c>
      <c r="J76" s="5" t="s">
        <v>59</v>
      </c>
      <c r="K76" s="5" t="s">
        <v>489</v>
      </c>
      <c r="L76" s="5" t="s">
        <v>490</v>
      </c>
      <c r="M76" s="5" t="s">
        <v>59</v>
      </c>
    </row>
    <row r="77" ht="31" spans="1:13">
      <c r="A77" s="6">
        <v>76</v>
      </c>
      <c r="B77" s="5" t="s">
        <v>17</v>
      </c>
      <c r="C77" s="5" t="s">
        <v>18</v>
      </c>
      <c r="D77" s="5" t="s">
        <v>491</v>
      </c>
      <c r="E77" s="5" t="s">
        <v>492</v>
      </c>
      <c r="F77" s="6" t="s">
        <v>106</v>
      </c>
      <c r="G77" s="5" t="s">
        <v>493</v>
      </c>
      <c r="H77" s="5" t="s">
        <v>59</v>
      </c>
      <c r="I77" s="5" t="s">
        <v>488</v>
      </c>
      <c r="J77" s="5" t="s">
        <v>494</v>
      </c>
      <c r="K77" s="5" t="s">
        <v>489</v>
      </c>
      <c r="L77" s="5" t="s">
        <v>490</v>
      </c>
      <c r="M77" s="5" t="s">
        <v>495</v>
      </c>
    </row>
    <row r="78" spans="1:13">
      <c r="A78" s="6">
        <v>77</v>
      </c>
      <c r="B78" s="5" t="s">
        <v>17</v>
      </c>
      <c r="C78" s="5" t="s">
        <v>18</v>
      </c>
      <c r="D78" s="5" t="s">
        <v>496</v>
      </c>
      <c r="E78" s="5" t="s">
        <v>497</v>
      </c>
      <c r="F78" s="6" t="s">
        <v>4</v>
      </c>
      <c r="G78" s="5" t="s">
        <v>149</v>
      </c>
      <c r="H78" s="5" t="s">
        <v>59</v>
      </c>
      <c r="I78" s="5" t="s">
        <v>456</v>
      </c>
      <c r="J78" s="5" t="s">
        <v>59</v>
      </c>
      <c r="K78" s="5" t="s">
        <v>498</v>
      </c>
      <c r="L78" s="5" t="s">
        <v>59</v>
      </c>
      <c r="M78" s="5" t="s">
        <v>499</v>
      </c>
    </row>
    <row r="79" ht="31" spans="1:13">
      <c r="A79" s="6">
        <v>78</v>
      </c>
      <c r="B79" s="5" t="s">
        <v>19</v>
      </c>
      <c r="C79" s="5" t="s">
        <v>20</v>
      </c>
      <c r="D79" s="5" t="s">
        <v>500</v>
      </c>
      <c r="E79" s="5" t="s">
        <v>501</v>
      </c>
      <c r="F79" s="6" t="s">
        <v>91</v>
      </c>
      <c r="G79" s="5" t="s">
        <v>502</v>
      </c>
      <c r="H79" s="5" t="s">
        <v>503</v>
      </c>
      <c r="I79" s="5" t="s">
        <v>504</v>
      </c>
      <c r="J79" s="5" t="s">
        <v>505</v>
      </c>
      <c r="K79" s="5" t="s">
        <v>506</v>
      </c>
      <c r="L79" s="5" t="s">
        <v>507</v>
      </c>
      <c r="M79" s="5" t="s">
        <v>508</v>
      </c>
    </row>
    <row r="80" ht="31" spans="1:13">
      <c r="A80" s="6">
        <v>79</v>
      </c>
      <c r="B80" s="5" t="s">
        <v>19</v>
      </c>
      <c r="C80" s="5" t="s">
        <v>20</v>
      </c>
      <c r="D80" s="5" t="s">
        <v>509</v>
      </c>
      <c r="E80" s="5" t="s">
        <v>510</v>
      </c>
      <c r="F80" s="6" t="s">
        <v>91</v>
      </c>
      <c r="G80" s="5" t="s">
        <v>502</v>
      </c>
      <c r="H80" s="5" t="s">
        <v>288</v>
      </c>
      <c r="I80" s="5" t="s">
        <v>504</v>
      </c>
      <c r="J80" s="5" t="s">
        <v>288</v>
      </c>
      <c r="K80" s="5" t="s">
        <v>511</v>
      </c>
      <c r="L80" s="5" t="s">
        <v>512</v>
      </c>
      <c r="M80" s="5" t="s">
        <v>59</v>
      </c>
    </row>
    <row r="81" spans="1:13">
      <c r="A81" s="6">
        <v>80</v>
      </c>
      <c r="B81" s="5" t="s">
        <v>19</v>
      </c>
      <c r="C81" s="5" t="s">
        <v>20</v>
      </c>
      <c r="D81" s="5" t="s">
        <v>513</v>
      </c>
      <c r="E81" s="5" t="s">
        <v>514</v>
      </c>
      <c r="F81" s="6" t="s">
        <v>106</v>
      </c>
      <c r="G81" s="5" t="s">
        <v>182</v>
      </c>
      <c r="H81" s="5" t="s">
        <v>288</v>
      </c>
      <c r="I81" s="5" t="s">
        <v>504</v>
      </c>
      <c r="J81" s="5" t="s">
        <v>288</v>
      </c>
      <c r="K81" s="5" t="s">
        <v>515</v>
      </c>
      <c r="L81" s="5" t="s">
        <v>512</v>
      </c>
      <c r="M81" s="5" t="s">
        <v>59</v>
      </c>
    </row>
    <row r="82" ht="31" spans="1:13">
      <c r="A82" s="6">
        <v>81</v>
      </c>
      <c r="B82" s="5" t="s">
        <v>19</v>
      </c>
      <c r="C82" s="5" t="s">
        <v>20</v>
      </c>
      <c r="D82" s="5" t="s">
        <v>516</v>
      </c>
      <c r="E82" s="5" t="s">
        <v>517</v>
      </c>
      <c r="F82" s="6" t="s">
        <v>91</v>
      </c>
      <c r="G82" s="5" t="s">
        <v>130</v>
      </c>
      <c r="H82" s="5" t="s">
        <v>261</v>
      </c>
      <c r="I82" s="5" t="s">
        <v>108</v>
      </c>
      <c r="J82" s="5" t="s">
        <v>518</v>
      </c>
      <c r="K82" s="5" t="s">
        <v>519</v>
      </c>
      <c r="L82" s="5" t="s">
        <v>133</v>
      </c>
      <c r="M82" s="5" t="s">
        <v>520</v>
      </c>
    </row>
    <row r="83" spans="1:13">
      <c r="A83" s="6">
        <v>82</v>
      </c>
      <c r="B83" s="5" t="s">
        <v>19</v>
      </c>
      <c r="C83" s="5" t="s">
        <v>20</v>
      </c>
      <c r="D83" s="5" t="s">
        <v>521</v>
      </c>
      <c r="E83" s="5" t="s">
        <v>522</v>
      </c>
      <c r="F83" s="6" t="s">
        <v>523</v>
      </c>
      <c r="G83" s="5" t="s">
        <v>143</v>
      </c>
      <c r="H83" s="5" t="s">
        <v>59</v>
      </c>
      <c r="I83" s="5" t="s">
        <v>524</v>
      </c>
      <c r="J83" s="5" t="s">
        <v>525</v>
      </c>
      <c r="K83" s="5" t="s">
        <v>526</v>
      </c>
      <c r="L83" s="5" t="s">
        <v>133</v>
      </c>
      <c r="M83" s="5" t="s">
        <v>527</v>
      </c>
    </row>
  </sheetData>
  <autoFilter xmlns:etc="http://www.wps.cn/officeDocument/2017/etCustomData" ref="A1:M83" etc:filterBottomFollowUsedRange="0">
    <extLst/>
  </autoFilter>
  <conditionalFormatting sqref="F2:F133">
    <cfRule type="cellIs" dxfId="0" priority="1" operator="equal">
      <formula>"类目强制"</formula>
    </cfRule>
    <cfRule type="cellIs" dxfId="1" priority="2" operator="equal">
      <formula>"必填"</formula>
    </cfRule>
  </conditionalFormatting>
  <dataValidations count="1">
    <dataValidation type="list" errorTitle="是否必填" error="请从下拉选项中选择" sqref="F2:F7 F8:F133">
      <formula1>"必填,类目强制,推荐,选填,按需,系统"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1:J112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6" customWidth="1"/>
    <col min="2" max="2" width="24" customWidth="1"/>
    <col min="3" max="3" width="22" customWidth="1"/>
    <col min="4" max="4" width="26" customWidth="1"/>
    <col min="5" max="5" width="12" customWidth="1"/>
    <col min="6" max="6" width="11" customWidth="1"/>
    <col min="7" max="7" width="32" customWidth="1"/>
    <col min="8" max="8" width="42" customWidth="1"/>
    <col min="9" max="9" width="20" customWidth="1"/>
    <col min="10" max="10" width="22" customWidth="1"/>
  </cols>
  <sheetData>
    <row r="1" ht="36" customHeight="1" spans="1:10">
      <c r="A1" s="4" t="s">
        <v>44</v>
      </c>
      <c r="B1" s="4" t="s">
        <v>528</v>
      </c>
      <c r="C1" s="4" t="s">
        <v>529</v>
      </c>
      <c r="D1" s="4" t="s">
        <v>530</v>
      </c>
      <c r="E1" s="4" t="s">
        <v>531</v>
      </c>
      <c r="F1" s="4" t="s">
        <v>48</v>
      </c>
      <c r="G1" s="4" t="s">
        <v>532</v>
      </c>
      <c r="H1" s="4" t="s">
        <v>533</v>
      </c>
      <c r="I1" s="4" t="s">
        <v>534</v>
      </c>
      <c r="J1" s="4" t="s">
        <v>53</v>
      </c>
    </row>
    <row r="2" ht="31" spans="1:10">
      <c r="A2" s="6">
        <v>1</v>
      </c>
      <c r="B2" s="5" t="s">
        <v>535</v>
      </c>
      <c r="C2" s="5" t="s">
        <v>536</v>
      </c>
      <c r="D2" s="5" t="s">
        <v>537</v>
      </c>
      <c r="E2" s="5" t="s">
        <v>149</v>
      </c>
      <c r="F2" s="6" t="s">
        <v>4</v>
      </c>
      <c r="G2" s="5" t="s">
        <v>538</v>
      </c>
      <c r="H2" s="5" t="s">
        <v>539</v>
      </c>
      <c r="I2" s="5" t="s">
        <v>540</v>
      </c>
      <c r="J2" s="5" t="s">
        <v>541</v>
      </c>
    </row>
    <row r="3" ht="31" spans="1:10">
      <c r="A3" s="6">
        <v>2</v>
      </c>
      <c r="B3" s="5" t="s">
        <v>535</v>
      </c>
      <c r="C3" s="5" t="s">
        <v>542</v>
      </c>
      <c r="D3" s="5" t="s">
        <v>543</v>
      </c>
      <c r="E3" s="5" t="s">
        <v>149</v>
      </c>
      <c r="F3" s="6" t="s">
        <v>5</v>
      </c>
      <c r="G3" s="5" t="s">
        <v>544</v>
      </c>
      <c r="H3" s="5" t="s">
        <v>545</v>
      </c>
      <c r="I3" s="5" t="s">
        <v>546</v>
      </c>
      <c r="J3" s="5" t="s">
        <v>547</v>
      </c>
    </row>
    <row r="4" spans="1:10">
      <c r="A4" s="6">
        <v>3</v>
      </c>
      <c r="B4" s="5" t="s">
        <v>535</v>
      </c>
      <c r="C4" s="5" t="s">
        <v>548</v>
      </c>
      <c r="D4" s="5" t="s">
        <v>549</v>
      </c>
      <c r="E4" s="5" t="s">
        <v>130</v>
      </c>
      <c r="F4" s="6" t="s">
        <v>4</v>
      </c>
      <c r="G4" s="5" t="s">
        <v>550</v>
      </c>
      <c r="H4" s="5" t="s">
        <v>551</v>
      </c>
      <c r="I4" s="5" t="s">
        <v>540</v>
      </c>
      <c r="J4" s="5" t="s">
        <v>552</v>
      </c>
    </row>
    <row r="5" spans="1:10">
      <c r="A5" s="6">
        <v>4</v>
      </c>
      <c r="B5" s="5" t="s">
        <v>535</v>
      </c>
      <c r="C5" s="5" t="s">
        <v>553</v>
      </c>
      <c r="D5" s="5" t="s">
        <v>554</v>
      </c>
      <c r="E5" s="5" t="s">
        <v>130</v>
      </c>
      <c r="F5" s="6" t="s">
        <v>4</v>
      </c>
      <c r="G5" s="5" t="s">
        <v>555</v>
      </c>
      <c r="H5" s="5" t="s">
        <v>556</v>
      </c>
      <c r="I5" s="5" t="s">
        <v>557</v>
      </c>
      <c r="J5" s="5" t="s">
        <v>558</v>
      </c>
    </row>
    <row r="6" spans="1:10">
      <c r="A6" s="6">
        <v>5</v>
      </c>
      <c r="B6" s="5" t="s">
        <v>535</v>
      </c>
      <c r="C6" s="5" t="s">
        <v>244</v>
      </c>
      <c r="D6" s="5" t="s">
        <v>559</v>
      </c>
      <c r="E6" s="5" t="s">
        <v>130</v>
      </c>
      <c r="F6" s="6" t="s">
        <v>91</v>
      </c>
      <c r="G6" s="5" t="s">
        <v>560</v>
      </c>
      <c r="H6" s="5" t="s">
        <v>561</v>
      </c>
      <c r="I6" s="5" t="s">
        <v>540</v>
      </c>
      <c r="J6" s="5" t="s">
        <v>562</v>
      </c>
    </row>
    <row r="7" spans="1:10">
      <c r="A7" s="6">
        <v>6</v>
      </c>
      <c r="B7" s="5" t="s">
        <v>535</v>
      </c>
      <c r="C7" s="5" t="s">
        <v>563</v>
      </c>
      <c r="D7" s="5" t="s">
        <v>564</v>
      </c>
      <c r="E7" s="5" t="s">
        <v>130</v>
      </c>
      <c r="F7" s="6" t="s">
        <v>5</v>
      </c>
      <c r="G7" s="5" t="s">
        <v>565</v>
      </c>
      <c r="H7" s="5" t="s">
        <v>261</v>
      </c>
      <c r="I7" s="5" t="s">
        <v>566</v>
      </c>
      <c r="J7" s="5" t="s">
        <v>263</v>
      </c>
    </row>
    <row r="8" spans="1:10">
      <c r="A8" s="6">
        <v>7</v>
      </c>
      <c r="B8" s="5" t="s">
        <v>535</v>
      </c>
      <c r="C8" s="5" t="s">
        <v>567</v>
      </c>
      <c r="D8" s="5" t="s">
        <v>568</v>
      </c>
      <c r="E8" s="5" t="s">
        <v>130</v>
      </c>
      <c r="F8" s="6" t="s">
        <v>5</v>
      </c>
      <c r="G8" s="5" t="s">
        <v>569</v>
      </c>
      <c r="H8" s="5" t="s">
        <v>570</v>
      </c>
      <c r="I8" s="5" t="s">
        <v>571</v>
      </c>
      <c r="J8" s="5" t="s">
        <v>263</v>
      </c>
    </row>
    <row r="9" spans="1:10">
      <c r="A9" s="6">
        <v>8</v>
      </c>
      <c r="B9" s="5" t="s">
        <v>535</v>
      </c>
      <c r="C9" s="5" t="s">
        <v>572</v>
      </c>
      <c r="D9" s="5" t="s">
        <v>573</v>
      </c>
      <c r="E9" s="5" t="s">
        <v>130</v>
      </c>
      <c r="F9" s="6" t="s">
        <v>91</v>
      </c>
      <c r="G9" s="5" t="s">
        <v>574</v>
      </c>
      <c r="H9" s="5" t="s">
        <v>59</v>
      </c>
      <c r="I9" s="5" t="s">
        <v>540</v>
      </c>
      <c r="J9" s="5" t="s">
        <v>575</v>
      </c>
    </row>
    <row r="10" spans="1:10">
      <c r="A10" s="6">
        <v>9</v>
      </c>
      <c r="B10" s="5" t="s">
        <v>535</v>
      </c>
      <c r="C10" s="5" t="s">
        <v>576</v>
      </c>
      <c r="D10" s="5" t="s">
        <v>577</v>
      </c>
      <c r="E10" s="5" t="s">
        <v>149</v>
      </c>
      <c r="F10" s="6" t="s">
        <v>91</v>
      </c>
      <c r="G10" s="5" t="s">
        <v>578</v>
      </c>
      <c r="H10" s="5" t="s">
        <v>59</v>
      </c>
      <c r="I10" s="5" t="s">
        <v>540</v>
      </c>
      <c r="J10" s="5" t="s">
        <v>575</v>
      </c>
    </row>
    <row r="11" spans="1:10">
      <c r="A11" s="6">
        <v>10</v>
      </c>
      <c r="B11" s="5" t="s">
        <v>535</v>
      </c>
      <c r="C11" s="5" t="s">
        <v>579</v>
      </c>
      <c r="D11" s="5" t="s">
        <v>580</v>
      </c>
      <c r="E11" s="5" t="s">
        <v>149</v>
      </c>
      <c r="F11" s="6" t="s">
        <v>106</v>
      </c>
      <c r="G11" s="5" t="s">
        <v>581</v>
      </c>
      <c r="H11" s="5" t="s">
        <v>59</v>
      </c>
      <c r="I11" s="5" t="s">
        <v>540</v>
      </c>
      <c r="J11" s="5" t="s">
        <v>387</v>
      </c>
    </row>
    <row r="12" spans="1:10">
      <c r="A12" s="6">
        <v>11</v>
      </c>
      <c r="B12" s="5" t="s">
        <v>535</v>
      </c>
      <c r="C12" s="5" t="s">
        <v>582</v>
      </c>
      <c r="D12" s="5" t="s">
        <v>583</v>
      </c>
      <c r="E12" s="5" t="s">
        <v>149</v>
      </c>
      <c r="F12" s="6" t="s">
        <v>4</v>
      </c>
      <c r="G12" s="5" t="s">
        <v>584</v>
      </c>
      <c r="H12" s="5" t="s">
        <v>585</v>
      </c>
      <c r="I12" s="5" t="s">
        <v>540</v>
      </c>
      <c r="J12" s="5" t="s">
        <v>59</v>
      </c>
    </row>
    <row r="13" ht="31" spans="1:10">
      <c r="A13" s="6">
        <v>12</v>
      </c>
      <c r="B13" s="5" t="s">
        <v>586</v>
      </c>
      <c r="C13" s="5" t="s">
        <v>587</v>
      </c>
      <c r="D13" s="5" t="s">
        <v>588</v>
      </c>
      <c r="E13" s="5" t="s">
        <v>589</v>
      </c>
      <c r="F13" s="6" t="s">
        <v>4</v>
      </c>
      <c r="G13" s="5" t="s">
        <v>590</v>
      </c>
      <c r="H13" s="5" t="s">
        <v>591</v>
      </c>
      <c r="I13" s="5" t="s">
        <v>540</v>
      </c>
      <c r="J13" s="5" t="s">
        <v>283</v>
      </c>
    </row>
    <row r="14" spans="1:10">
      <c r="A14" s="6">
        <v>13</v>
      </c>
      <c r="B14" s="5" t="s">
        <v>586</v>
      </c>
      <c r="C14" s="5" t="s">
        <v>592</v>
      </c>
      <c r="D14" s="5" t="s">
        <v>593</v>
      </c>
      <c r="E14" s="5" t="s">
        <v>589</v>
      </c>
      <c r="F14" s="6" t="s">
        <v>91</v>
      </c>
      <c r="G14" s="5" t="s">
        <v>594</v>
      </c>
      <c r="H14" s="5" t="s">
        <v>287</v>
      </c>
      <c r="I14" s="5" t="s">
        <v>540</v>
      </c>
      <c r="J14" s="5" t="s">
        <v>289</v>
      </c>
    </row>
    <row r="15" spans="1:10">
      <c r="A15" s="6">
        <v>14</v>
      </c>
      <c r="B15" s="5" t="s">
        <v>586</v>
      </c>
      <c r="C15" s="5" t="s">
        <v>291</v>
      </c>
      <c r="D15" s="5" t="s">
        <v>595</v>
      </c>
      <c r="E15" s="5" t="s">
        <v>596</v>
      </c>
      <c r="F15" s="6" t="s">
        <v>106</v>
      </c>
      <c r="G15" s="5" t="s">
        <v>597</v>
      </c>
      <c r="H15" s="5" t="s">
        <v>598</v>
      </c>
      <c r="I15" s="5" t="s">
        <v>540</v>
      </c>
      <c r="J15" s="5" t="s">
        <v>295</v>
      </c>
    </row>
    <row r="16" spans="1:10">
      <c r="A16" s="6">
        <v>15</v>
      </c>
      <c r="B16" s="5" t="s">
        <v>586</v>
      </c>
      <c r="C16" s="5" t="s">
        <v>389</v>
      </c>
      <c r="D16" s="5" t="s">
        <v>599</v>
      </c>
      <c r="E16" s="5" t="s">
        <v>600</v>
      </c>
      <c r="F16" s="6" t="s">
        <v>4</v>
      </c>
      <c r="G16" s="5" t="s">
        <v>601</v>
      </c>
      <c r="H16" s="5" t="s">
        <v>602</v>
      </c>
      <c r="I16" s="5" t="s">
        <v>540</v>
      </c>
      <c r="J16" s="5" t="s">
        <v>392</v>
      </c>
    </row>
    <row r="17" spans="1:10">
      <c r="A17" s="6">
        <v>16</v>
      </c>
      <c r="B17" s="5" t="s">
        <v>586</v>
      </c>
      <c r="C17" s="5" t="s">
        <v>603</v>
      </c>
      <c r="D17" s="5" t="s">
        <v>604</v>
      </c>
      <c r="E17" s="5" t="s">
        <v>605</v>
      </c>
      <c r="F17" s="6" t="s">
        <v>106</v>
      </c>
      <c r="G17" s="5" t="s">
        <v>606</v>
      </c>
      <c r="H17" s="5" t="s">
        <v>607</v>
      </c>
      <c r="I17" s="5" t="s">
        <v>540</v>
      </c>
      <c r="J17" s="5" t="s">
        <v>59</v>
      </c>
    </row>
    <row r="18" ht="31" spans="1:10">
      <c r="A18" s="6">
        <v>17</v>
      </c>
      <c r="B18" s="5" t="s">
        <v>608</v>
      </c>
      <c r="C18" s="5" t="s">
        <v>609</v>
      </c>
      <c r="D18" s="5" t="s">
        <v>610</v>
      </c>
      <c r="E18" s="5" t="s">
        <v>149</v>
      </c>
      <c r="F18" s="6" t="s">
        <v>4</v>
      </c>
      <c r="G18" s="5" t="s">
        <v>611</v>
      </c>
      <c r="H18" s="5" t="s">
        <v>59</v>
      </c>
      <c r="I18" s="5" t="s">
        <v>612</v>
      </c>
      <c r="J18" s="5" t="s">
        <v>271</v>
      </c>
    </row>
    <row r="19" spans="1:10">
      <c r="A19" s="6">
        <v>18</v>
      </c>
      <c r="B19" s="5" t="s">
        <v>608</v>
      </c>
      <c r="C19" s="5" t="s">
        <v>613</v>
      </c>
      <c r="D19" s="5" t="s">
        <v>614</v>
      </c>
      <c r="E19" s="5" t="s">
        <v>149</v>
      </c>
      <c r="F19" s="6" t="s">
        <v>4</v>
      </c>
      <c r="G19" s="5" t="s">
        <v>615</v>
      </c>
      <c r="H19" s="5" t="s">
        <v>59</v>
      </c>
      <c r="I19" s="5" t="s">
        <v>612</v>
      </c>
      <c r="J19" s="5" t="s">
        <v>271</v>
      </c>
    </row>
    <row r="20" spans="1:10">
      <c r="A20" s="6">
        <v>19</v>
      </c>
      <c r="B20" s="5" t="s">
        <v>608</v>
      </c>
      <c r="C20" s="5" t="s">
        <v>616</v>
      </c>
      <c r="D20" s="5" t="s">
        <v>617</v>
      </c>
      <c r="E20" s="5" t="s">
        <v>618</v>
      </c>
      <c r="F20" s="6" t="s">
        <v>4</v>
      </c>
      <c r="G20" s="5" t="s">
        <v>619</v>
      </c>
      <c r="H20" s="5" t="s">
        <v>620</v>
      </c>
      <c r="I20" s="5" t="s">
        <v>612</v>
      </c>
      <c r="J20" s="5" t="s">
        <v>271</v>
      </c>
    </row>
    <row r="21" spans="1:10">
      <c r="A21" s="6">
        <v>20</v>
      </c>
      <c r="B21" s="5" t="s">
        <v>608</v>
      </c>
      <c r="C21" s="5" t="s">
        <v>621</v>
      </c>
      <c r="D21" s="5" t="s">
        <v>622</v>
      </c>
      <c r="E21" s="5" t="s">
        <v>618</v>
      </c>
      <c r="F21" s="6" t="s">
        <v>4</v>
      </c>
      <c r="G21" s="5" t="s">
        <v>623</v>
      </c>
      <c r="H21" s="5" t="s">
        <v>620</v>
      </c>
      <c r="I21" s="5" t="s">
        <v>612</v>
      </c>
      <c r="J21" s="5" t="s">
        <v>263</v>
      </c>
    </row>
    <row r="22" spans="1:10">
      <c r="A22" s="6">
        <v>21</v>
      </c>
      <c r="B22" s="5" t="s">
        <v>608</v>
      </c>
      <c r="C22" s="5" t="s">
        <v>624</v>
      </c>
      <c r="D22" s="5" t="s">
        <v>625</v>
      </c>
      <c r="E22" s="5" t="s">
        <v>618</v>
      </c>
      <c r="F22" s="6" t="s">
        <v>4</v>
      </c>
      <c r="G22" s="5" t="s">
        <v>626</v>
      </c>
      <c r="H22" s="5" t="s">
        <v>620</v>
      </c>
      <c r="I22" s="5" t="s">
        <v>612</v>
      </c>
      <c r="J22" s="5" t="s">
        <v>263</v>
      </c>
    </row>
    <row r="23" spans="1:10">
      <c r="A23" s="6">
        <v>22</v>
      </c>
      <c r="B23" s="5" t="s">
        <v>608</v>
      </c>
      <c r="C23" s="5" t="s">
        <v>627</v>
      </c>
      <c r="D23" s="5" t="s">
        <v>628</v>
      </c>
      <c r="E23" s="5" t="s">
        <v>149</v>
      </c>
      <c r="F23" s="6" t="s">
        <v>4</v>
      </c>
      <c r="G23" s="5" t="s">
        <v>629</v>
      </c>
      <c r="H23" s="5" t="s">
        <v>59</v>
      </c>
      <c r="I23" s="5" t="s">
        <v>612</v>
      </c>
      <c r="J23" s="5" t="s">
        <v>271</v>
      </c>
    </row>
    <row r="24" spans="1:10">
      <c r="A24" s="6">
        <v>23</v>
      </c>
      <c r="B24" s="5" t="s">
        <v>608</v>
      </c>
      <c r="C24" s="5" t="s">
        <v>630</v>
      </c>
      <c r="D24" s="5" t="s">
        <v>631</v>
      </c>
      <c r="E24" s="5" t="s">
        <v>618</v>
      </c>
      <c r="F24" s="6" t="s">
        <v>4</v>
      </c>
      <c r="G24" s="5" t="s">
        <v>632</v>
      </c>
      <c r="H24" s="5" t="s">
        <v>633</v>
      </c>
      <c r="I24" s="5" t="s">
        <v>612</v>
      </c>
      <c r="J24" s="5" t="s">
        <v>263</v>
      </c>
    </row>
    <row r="25" spans="1:10">
      <c r="A25" s="6">
        <v>24</v>
      </c>
      <c r="B25" s="5" t="s">
        <v>608</v>
      </c>
      <c r="C25" s="5" t="s">
        <v>634</v>
      </c>
      <c r="D25" s="5" t="s">
        <v>635</v>
      </c>
      <c r="E25" s="5" t="s">
        <v>618</v>
      </c>
      <c r="F25" s="6" t="s">
        <v>91</v>
      </c>
      <c r="G25" s="5" t="s">
        <v>636</v>
      </c>
      <c r="H25" s="5" t="s">
        <v>59</v>
      </c>
      <c r="I25" s="5" t="s">
        <v>612</v>
      </c>
      <c r="J25" s="5" t="s">
        <v>263</v>
      </c>
    </row>
    <row r="26" spans="1:10">
      <c r="A26" s="6">
        <v>25</v>
      </c>
      <c r="B26" s="5" t="s">
        <v>608</v>
      </c>
      <c r="C26" s="5" t="s">
        <v>637</v>
      </c>
      <c r="D26" s="5" t="s">
        <v>638</v>
      </c>
      <c r="E26" s="5" t="s">
        <v>618</v>
      </c>
      <c r="F26" s="6" t="s">
        <v>91</v>
      </c>
      <c r="G26" s="5" t="s">
        <v>639</v>
      </c>
      <c r="H26" s="5" t="s">
        <v>59</v>
      </c>
      <c r="I26" s="5" t="s">
        <v>612</v>
      </c>
      <c r="J26" s="5" t="s">
        <v>263</v>
      </c>
    </row>
    <row r="27" spans="1:10">
      <c r="A27" s="6">
        <v>26</v>
      </c>
      <c r="B27" s="5" t="s">
        <v>608</v>
      </c>
      <c r="C27" s="5" t="s">
        <v>640</v>
      </c>
      <c r="D27" s="5" t="s">
        <v>641</v>
      </c>
      <c r="E27" s="5" t="s">
        <v>149</v>
      </c>
      <c r="F27" s="6" t="s">
        <v>91</v>
      </c>
      <c r="G27" s="5" t="s">
        <v>642</v>
      </c>
      <c r="H27" s="5" t="s">
        <v>643</v>
      </c>
      <c r="I27" s="5" t="s">
        <v>612</v>
      </c>
      <c r="J27" s="5" t="s">
        <v>420</v>
      </c>
    </row>
    <row r="28" spans="1:10">
      <c r="A28" s="6">
        <v>27</v>
      </c>
      <c r="B28" s="5" t="s">
        <v>608</v>
      </c>
      <c r="C28" s="5" t="s">
        <v>644</v>
      </c>
      <c r="D28" s="5" t="s">
        <v>645</v>
      </c>
      <c r="E28" s="5" t="s">
        <v>618</v>
      </c>
      <c r="F28" s="6" t="s">
        <v>4</v>
      </c>
      <c r="G28" s="5" t="s">
        <v>646</v>
      </c>
      <c r="H28" s="5" t="s">
        <v>350</v>
      </c>
      <c r="I28" s="5" t="s">
        <v>612</v>
      </c>
      <c r="J28" s="5" t="s">
        <v>346</v>
      </c>
    </row>
    <row r="29" ht="31" spans="1:10">
      <c r="A29" s="6">
        <v>28</v>
      </c>
      <c r="B29" s="5" t="s">
        <v>647</v>
      </c>
      <c r="C29" s="5" t="s">
        <v>648</v>
      </c>
      <c r="D29" s="5" t="s">
        <v>649</v>
      </c>
      <c r="E29" s="5" t="s">
        <v>149</v>
      </c>
      <c r="F29" s="6" t="s">
        <v>4</v>
      </c>
      <c r="G29" s="5" t="s">
        <v>650</v>
      </c>
      <c r="H29" s="5" t="s">
        <v>59</v>
      </c>
      <c r="I29" s="5" t="s">
        <v>651</v>
      </c>
      <c r="J29" s="5" t="s">
        <v>271</v>
      </c>
    </row>
    <row r="30" spans="1:10">
      <c r="A30" s="6">
        <v>29</v>
      </c>
      <c r="B30" s="5" t="s">
        <v>647</v>
      </c>
      <c r="C30" s="5" t="s">
        <v>652</v>
      </c>
      <c r="D30" s="5" t="s">
        <v>653</v>
      </c>
      <c r="E30" s="5" t="s">
        <v>130</v>
      </c>
      <c r="F30" s="6" t="s">
        <v>91</v>
      </c>
      <c r="G30" s="5" t="s">
        <v>654</v>
      </c>
      <c r="H30" s="5" t="s">
        <v>59</v>
      </c>
      <c r="I30" s="5" t="s">
        <v>651</v>
      </c>
      <c r="J30" s="5" t="s">
        <v>263</v>
      </c>
    </row>
    <row r="31" spans="1:10">
      <c r="A31" s="6">
        <v>30</v>
      </c>
      <c r="B31" s="5" t="s">
        <v>647</v>
      </c>
      <c r="C31" s="5" t="s">
        <v>655</v>
      </c>
      <c r="D31" s="5" t="s">
        <v>656</v>
      </c>
      <c r="E31" s="5" t="s">
        <v>130</v>
      </c>
      <c r="F31" s="6" t="s">
        <v>4</v>
      </c>
      <c r="G31" s="5" t="s">
        <v>657</v>
      </c>
      <c r="H31" s="5" t="s">
        <v>658</v>
      </c>
      <c r="I31" s="5" t="s">
        <v>651</v>
      </c>
      <c r="J31" s="5" t="s">
        <v>263</v>
      </c>
    </row>
    <row r="32" spans="1:10">
      <c r="A32" s="6">
        <v>31</v>
      </c>
      <c r="B32" s="5" t="s">
        <v>647</v>
      </c>
      <c r="C32" s="5" t="s">
        <v>659</v>
      </c>
      <c r="D32" s="5" t="s">
        <v>660</v>
      </c>
      <c r="E32" s="5" t="s">
        <v>149</v>
      </c>
      <c r="F32" s="6" t="s">
        <v>4</v>
      </c>
      <c r="G32" s="5" t="s">
        <v>661</v>
      </c>
      <c r="H32" s="5" t="s">
        <v>59</v>
      </c>
      <c r="I32" s="5" t="s">
        <v>651</v>
      </c>
      <c r="J32" s="5" t="s">
        <v>263</v>
      </c>
    </row>
    <row r="33" spans="1:10">
      <c r="A33" s="6">
        <v>32</v>
      </c>
      <c r="B33" s="5" t="s">
        <v>647</v>
      </c>
      <c r="C33" s="5" t="s">
        <v>662</v>
      </c>
      <c r="D33" s="5" t="s">
        <v>663</v>
      </c>
      <c r="E33" s="5" t="s">
        <v>605</v>
      </c>
      <c r="F33" s="6" t="s">
        <v>91</v>
      </c>
      <c r="G33" s="5" t="s">
        <v>664</v>
      </c>
      <c r="H33" s="5" t="s">
        <v>665</v>
      </c>
      <c r="I33" s="5" t="s">
        <v>651</v>
      </c>
      <c r="J33" s="5" t="s">
        <v>420</v>
      </c>
    </row>
    <row r="34" spans="1:10">
      <c r="A34" s="6">
        <v>33</v>
      </c>
      <c r="B34" s="5" t="s">
        <v>647</v>
      </c>
      <c r="C34" s="5" t="s">
        <v>666</v>
      </c>
      <c r="D34" s="5" t="s">
        <v>667</v>
      </c>
      <c r="E34" s="5" t="s">
        <v>130</v>
      </c>
      <c r="F34" s="6" t="s">
        <v>91</v>
      </c>
      <c r="G34" s="5" t="s">
        <v>668</v>
      </c>
      <c r="H34" s="5" t="s">
        <v>59</v>
      </c>
      <c r="I34" s="5" t="s">
        <v>651</v>
      </c>
      <c r="J34" s="5" t="s">
        <v>346</v>
      </c>
    </row>
    <row r="35" ht="31" spans="1:10">
      <c r="A35" s="6">
        <v>34</v>
      </c>
      <c r="B35" s="5" t="s">
        <v>669</v>
      </c>
      <c r="C35" s="5" t="s">
        <v>670</v>
      </c>
      <c r="D35" s="5" t="s">
        <v>671</v>
      </c>
      <c r="E35" s="5" t="s">
        <v>149</v>
      </c>
      <c r="F35" s="6" t="s">
        <v>4</v>
      </c>
      <c r="G35" s="5" t="s">
        <v>672</v>
      </c>
      <c r="H35" s="5" t="s">
        <v>59</v>
      </c>
      <c r="I35" s="5" t="s">
        <v>673</v>
      </c>
      <c r="J35" s="5" t="s">
        <v>263</v>
      </c>
    </row>
    <row r="36" ht="31" spans="1:10">
      <c r="A36" s="6">
        <v>35</v>
      </c>
      <c r="B36" s="5" t="s">
        <v>669</v>
      </c>
      <c r="C36" s="5" t="s">
        <v>674</v>
      </c>
      <c r="D36" s="5" t="s">
        <v>675</v>
      </c>
      <c r="E36" s="5" t="s">
        <v>149</v>
      </c>
      <c r="F36" s="6" t="s">
        <v>4</v>
      </c>
      <c r="G36" s="5" t="s">
        <v>676</v>
      </c>
      <c r="H36" s="5" t="s">
        <v>59</v>
      </c>
      <c r="I36" s="5" t="s">
        <v>673</v>
      </c>
      <c r="J36" s="5" t="s">
        <v>263</v>
      </c>
    </row>
    <row r="37" ht="31" spans="1:10">
      <c r="A37" s="6">
        <v>36</v>
      </c>
      <c r="B37" s="5" t="s">
        <v>669</v>
      </c>
      <c r="C37" s="5" t="s">
        <v>677</v>
      </c>
      <c r="D37" s="5" t="s">
        <v>678</v>
      </c>
      <c r="E37" s="5" t="s">
        <v>149</v>
      </c>
      <c r="F37" s="6" t="s">
        <v>4</v>
      </c>
      <c r="G37" s="5" t="s">
        <v>679</v>
      </c>
      <c r="H37" s="5" t="s">
        <v>680</v>
      </c>
      <c r="I37" s="5" t="s">
        <v>673</v>
      </c>
      <c r="J37" s="5" t="s">
        <v>314</v>
      </c>
    </row>
    <row r="38" ht="31" spans="1:10">
      <c r="A38" s="6">
        <v>37</v>
      </c>
      <c r="B38" s="5" t="s">
        <v>669</v>
      </c>
      <c r="C38" s="5" t="s">
        <v>681</v>
      </c>
      <c r="D38" s="5" t="s">
        <v>682</v>
      </c>
      <c r="E38" s="5" t="s">
        <v>618</v>
      </c>
      <c r="F38" s="6" t="s">
        <v>4</v>
      </c>
      <c r="G38" s="5" t="s">
        <v>683</v>
      </c>
      <c r="H38" s="5" t="s">
        <v>684</v>
      </c>
      <c r="I38" s="5" t="s">
        <v>673</v>
      </c>
      <c r="J38" s="5" t="s">
        <v>314</v>
      </c>
    </row>
    <row r="39" ht="31" spans="1:10">
      <c r="A39" s="6">
        <v>38</v>
      </c>
      <c r="B39" s="5" t="s">
        <v>669</v>
      </c>
      <c r="C39" s="5" t="s">
        <v>685</v>
      </c>
      <c r="D39" s="5" t="s">
        <v>686</v>
      </c>
      <c r="E39" s="5" t="s">
        <v>618</v>
      </c>
      <c r="F39" s="6" t="s">
        <v>91</v>
      </c>
      <c r="G39" s="5" t="s">
        <v>687</v>
      </c>
      <c r="H39" s="5" t="s">
        <v>633</v>
      </c>
      <c r="I39" s="5" t="s">
        <v>673</v>
      </c>
      <c r="J39" s="5" t="s">
        <v>263</v>
      </c>
    </row>
    <row r="40" ht="31" spans="1:10">
      <c r="A40" s="6">
        <v>39</v>
      </c>
      <c r="B40" s="5" t="s">
        <v>669</v>
      </c>
      <c r="C40" s="5" t="s">
        <v>688</v>
      </c>
      <c r="D40" s="5" t="s">
        <v>689</v>
      </c>
      <c r="E40" s="5" t="s">
        <v>690</v>
      </c>
      <c r="F40" s="6" t="s">
        <v>4</v>
      </c>
      <c r="G40" s="5" t="s">
        <v>691</v>
      </c>
      <c r="H40" s="5" t="s">
        <v>692</v>
      </c>
      <c r="I40" s="5" t="s">
        <v>673</v>
      </c>
      <c r="J40" s="5" t="s">
        <v>314</v>
      </c>
    </row>
    <row r="41" ht="31" spans="1:10">
      <c r="A41" s="6">
        <v>40</v>
      </c>
      <c r="B41" s="5" t="s">
        <v>669</v>
      </c>
      <c r="C41" s="5" t="s">
        <v>693</v>
      </c>
      <c r="D41" s="5" t="s">
        <v>694</v>
      </c>
      <c r="E41" s="5" t="s">
        <v>130</v>
      </c>
      <c r="F41" s="6" t="s">
        <v>4</v>
      </c>
      <c r="G41" s="5" t="s">
        <v>695</v>
      </c>
      <c r="H41" s="5" t="s">
        <v>696</v>
      </c>
      <c r="I41" s="5" t="s">
        <v>673</v>
      </c>
      <c r="J41" s="5" t="s">
        <v>314</v>
      </c>
    </row>
    <row r="42" ht="31" spans="1:10">
      <c r="A42" s="6">
        <v>41</v>
      </c>
      <c r="B42" s="5" t="s">
        <v>669</v>
      </c>
      <c r="C42" s="5" t="s">
        <v>697</v>
      </c>
      <c r="D42" s="5" t="s">
        <v>698</v>
      </c>
      <c r="E42" s="5" t="s">
        <v>130</v>
      </c>
      <c r="F42" s="6" t="s">
        <v>4</v>
      </c>
      <c r="G42" s="5" t="s">
        <v>699</v>
      </c>
      <c r="H42" s="5" t="s">
        <v>59</v>
      </c>
      <c r="I42" s="5" t="s">
        <v>673</v>
      </c>
      <c r="J42" s="5" t="s">
        <v>314</v>
      </c>
    </row>
    <row r="43" ht="31" spans="1:10">
      <c r="A43" s="6">
        <v>42</v>
      </c>
      <c r="B43" s="5" t="s">
        <v>669</v>
      </c>
      <c r="C43" s="5" t="s">
        <v>700</v>
      </c>
      <c r="D43" s="5" t="s">
        <v>701</v>
      </c>
      <c r="E43" s="5" t="s">
        <v>149</v>
      </c>
      <c r="F43" s="6" t="s">
        <v>4</v>
      </c>
      <c r="G43" s="5" t="s">
        <v>702</v>
      </c>
      <c r="H43" s="5" t="s">
        <v>59</v>
      </c>
      <c r="I43" s="5" t="s">
        <v>673</v>
      </c>
      <c r="J43" s="5" t="s">
        <v>314</v>
      </c>
    </row>
    <row r="44" ht="31" spans="1:10">
      <c r="A44" s="6">
        <v>43</v>
      </c>
      <c r="B44" s="5" t="s">
        <v>669</v>
      </c>
      <c r="C44" s="5" t="s">
        <v>703</v>
      </c>
      <c r="D44" s="5" t="s">
        <v>704</v>
      </c>
      <c r="E44" s="5" t="s">
        <v>130</v>
      </c>
      <c r="F44" s="6" t="s">
        <v>4</v>
      </c>
      <c r="G44" s="5" t="s">
        <v>705</v>
      </c>
      <c r="H44" s="5" t="s">
        <v>59</v>
      </c>
      <c r="I44" s="5" t="s">
        <v>673</v>
      </c>
      <c r="J44" s="5" t="s">
        <v>314</v>
      </c>
    </row>
    <row r="45" ht="31" spans="1:10">
      <c r="A45" s="6">
        <v>44</v>
      </c>
      <c r="B45" s="5" t="s">
        <v>669</v>
      </c>
      <c r="C45" s="5" t="s">
        <v>706</v>
      </c>
      <c r="D45" s="5" t="s">
        <v>707</v>
      </c>
      <c r="E45" s="5" t="s">
        <v>130</v>
      </c>
      <c r="F45" s="6" t="s">
        <v>4</v>
      </c>
      <c r="G45" s="5" t="s">
        <v>708</v>
      </c>
      <c r="H45" s="5" t="s">
        <v>59</v>
      </c>
      <c r="I45" s="5" t="s">
        <v>673</v>
      </c>
      <c r="J45" s="5" t="s">
        <v>314</v>
      </c>
    </row>
    <row r="46" spans="1:10">
      <c r="A46" s="6">
        <v>45</v>
      </c>
      <c r="B46" s="5" t="s">
        <v>709</v>
      </c>
      <c r="C46" s="5" t="s">
        <v>710</v>
      </c>
      <c r="D46" s="5" t="s">
        <v>711</v>
      </c>
      <c r="E46" s="5" t="s">
        <v>149</v>
      </c>
      <c r="F46" s="6" t="s">
        <v>4</v>
      </c>
      <c r="G46" s="5" t="s">
        <v>712</v>
      </c>
      <c r="H46" s="5" t="s">
        <v>59</v>
      </c>
      <c r="I46" s="5" t="s">
        <v>713</v>
      </c>
      <c r="J46" s="5" t="s">
        <v>271</v>
      </c>
    </row>
    <row r="47" spans="1:10">
      <c r="A47" s="6">
        <v>46</v>
      </c>
      <c r="B47" s="5" t="s">
        <v>709</v>
      </c>
      <c r="C47" s="5" t="s">
        <v>714</v>
      </c>
      <c r="D47" s="5" t="s">
        <v>715</v>
      </c>
      <c r="E47" s="5" t="s">
        <v>130</v>
      </c>
      <c r="F47" s="6" t="s">
        <v>4</v>
      </c>
      <c r="G47" s="5" t="s">
        <v>716</v>
      </c>
      <c r="H47" s="5" t="s">
        <v>59</v>
      </c>
      <c r="I47" s="5" t="s">
        <v>713</v>
      </c>
      <c r="J47" s="5" t="s">
        <v>263</v>
      </c>
    </row>
    <row r="48" spans="1:10">
      <c r="A48" s="6">
        <v>47</v>
      </c>
      <c r="B48" s="5" t="s">
        <v>709</v>
      </c>
      <c r="C48" s="5" t="s">
        <v>717</v>
      </c>
      <c r="D48" s="5" t="s">
        <v>718</v>
      </c>
      <c r="E48" s="5" t="s">
        <v>162</v>
      </c>
      <c r="F48" s="6" t="s">
        <v>4</v>
      </c>
      <c r="G48" s="5" t="s">
        <v>719</v>
      </c>
      <c r="H48" s="5" t="s">
        <v>720</v>
      </c>
      <c r="I48" s="5" t="s">
        <v>713</v>
      </c>
      <c r="J48" s="5" t="s">
        <v>302</v>
      </c>
    </row>
    <row r="49" spans="1:10">
      <c r="A49" s="6">
        <v>48</v>
      </c>
      <c r="B49" s="5" t="s">
        <v>709</v>
      </c>
      <c r="C49" s="5" t="s">
        <v>721</v>
      </c>
      <c r="D49" s="5" t="s">
        <v>722</v>
      </c>
      <c r="E49" s="5" t="s">
        <v>618</v>
      </c>
      <c r="F49" s="6" t="s">
        <v>91</v>
      </c>
      <c r="G49" s="5" t="s">
        <v>723</v>
      </c>
      <c r="H49" s="5" t="s">
        <v>633</v>
      </c>
      <c r="I49" s="5" t="s">
        <v>713</v>
      </c>
      <c r="J49" s="5" t="s">
        <v>263</v>
      </c>
    </row>
    <row r="50" ht="31" spans="1:10">
      <c r="A50" s="6">
        <v>49</v>
      </c>
      <c r="B50" s="5" t="s">
        <v>724</v>
      </c>
      <c r="C50" s="5" t="s">
        <v>725</v>
      </c>
      <c r="D50" s="5" t="s">
        <v>726</v>
      </c>
      <c r="E50" s="5" t="s">
        <v>149</v>
      </c>
      <c r="F50" s="6" t="s">
        <v>4</v>
      </c>
      <c r="G50" s="5" t="s">
        <v>727</v>
      </c>
      <c r="H50" s="5" t="s">
        <v>59</v>
      </c>
      <c r="I50" s="5" t="s">
        <v>728</v>
      </c>
      <c r="J50" s="5" t="s">
        <v>271</v>
      </c>
    </row>
    <row r="51" spans="1:10">
      <c r="A51" s="6">
        <v>50</v>
      </c>
      <c r="B51" s="5" t="s">
        <v>724</v>
      </c>
      <c r="C51" s="5" t="s">
        <v>729</v>
      </c>
      <c r="D51" s="5" t="s">
        <v>730</v>
      </c>
      <c r="E51" s="5" t="s">
        <v>618</v>
      </c>
      <c r="F51" s="6" t="s">
        <v>4</v>
      </c>
      <c r="G51" s="5" t="s">
        <v>731</v>
      </c>
      <c r="H51" s="5" t="s">
        <v>633</v>
      </c>
      <c r="I51" s="5" t="s">
        <v>728</v>
      </c>
      <c r="J51" s="5" t="s">
        <v>271</v>
      </c>
    </row>
    <row r="52" spans="1:10">
      <c r="A52" s="6">
        <v>51</v>
      </c>
      <c r="B52" s="5" t="s">
        <v>724</v>
      </c>
      <c r="C52" s="5" t="s">
        <v>732</v>
      </c>
      <c r="D52" s="5" t="s">
        <v>733</v>
      </c>
      <c r="E52" s="5" t="s">
        <v>618</v>
      </c>
      <c r="F52" s="6" t="s">
        <v>4</v>
      </c>
      <c r="G52" s="5" t="s">
        <v>734</v>
      </c>
      <c r="H52" s="5" t="s">
        <v>633</v>
      </c>
      <c r="I52" s="5" t="s">
        <v>728</v>
      </c>
      <c r="J52" s="5" t="s">
        <v>263</v>
      </c>
    </row>
    <row r="53" spans="1:10">
      <c r="A53" s="6">
        <v>52</v>
      </c>
      <c r="B53" s="5" t="s">
        <v>724</v>
      </c>
      <c r="C53" s="5" t="s">
        <v>735</v>
      </c>
      <c r="D53" s="5" t="s">
        <v>736</v>
      </c>
      <c r="E53" s="5" t="s">
        <v>618</v>
      </c>
      <c r="F53" s="6" t="s">
        <v>4</v>
      </c>
      <c r="G53" s="5" t="s">
        <v>737</v>
      </c>
      <c r="H53" s="5" t="s">
        <v>633</v>
      </c>
      <c r="I53" s="5" t="s">
        <v>728</v>
      </c>
      <c r="J53" s="5" t="s">
        <v>263</v>
      </c>
    </row>
    <row r="54" spans="1:10">
      <c r="A54" s="6">
        <v>53</v>
      </c>
      <c r="B54" s="5" t="s">
        <v>724</v>
      </c>
      <c r="C54" s="5" t="s">
        <v>738</v>
      </c>
      <c r="D54" s="5" t="s">
        <v>739</v>
      </c>
      <c r="E54" s="5" t="s">
        <v>149</v>
      </c>
      <c r="F54" s="6" t="s">
        <v>4</v>
      </c>
      <c r="G54" s="5" t="s">
        <v>740</v>
      </c>
      <c r="H54" s="5" t="s">
        <v>59</v>
      </c>
      <c r="I54" s="5" t="s">
        <v>728</v>
      </c>
      <c r="J54" s="5" t="s">
        <v>271</v>
      </c>
    </row>
    <row r="55" spans="1:10">
      <c r="A55" s="6">
        <v>54</v>
      </c>
      <c r="B55" s="5" t="s">
        <v>724</v>
      </c>
      <c r="C55" s="5" t="s">
        <v>741</v>
      </c>
      <c r="D55" s="5" t="s">
        <v>742</v>
      </c>
      <c r="E55" s="5" t="s">
        <v>149</v>
      </c>
      <c r="F55" s="6" t="s">
        <v>91</v>
      </c>
      <c r="G55" s="5" t="s">
        <v>743</v>
      </c>
      <c r="H55" s="5" t="s">
        <v>59</v>
      </c>
      <c r="I55" s="5" t="s">
        <v>728</v>
      </c>
      <c r="J55" s="5" t="s">
        <v>263</v>
      </c>
    </row>
    <row r="56" spans="1:10">
      <c r="A56" s="6">
        <v>55</v>
      </c>
      <c r="B56" s="5" t="s">
        <v>724</v>
      </c>
      <c r="C56" s="5" t="s">
        <v>744</v>
      </c>
      <c r="D56" s="5" t="s">
        <v>745</v>
      </c>
      <c r="E56" s="5" t="s">
        <v>149</v>
      </c>
      <c r="F56" s="6" t="s">
        <v>91</v>
      </c>
      <c r="G56" s="5" t="s">
        <v>746</v>
      </c>
      <c r="H56" s="5" t="s">
        <v>59</v>
      </c>
      <c r="I56" s="5" t="s">
        <v>728</v>
      </c>
      <c r="J56" s="5" t="s">
        <v>263</v>
      </c>
    </row>
    <row r="57" spans="1:10">
      <c r="A57" s="6">
        <v>56</v>
      </c>
      <c r="B57" s="5" t="s">
        <v>724</v>
      </c>
      <c r="C57" s="5" t="s">
        <v>747</v>
      </c>
      <c r="D57" s="5" t="s">
        <v>748</v>
      </c>
      <c r="E57" s="5" t="s">
        <v>618</v>
      </c>
      <c r="F57" s="6" t="s">
        <v>4</v>
      </c>
      <c r="G57" s="5" t="s">
        <v>749</v>
      </c>
      <c r="H57" s="5" t="s">
        <v>633</v>
      </c>
      <c r="I57" s="5" t="s">
        <v>728</v>
      </c>
      <c r="J57" s="5" t="s">
        <v>263</v>
      </c>
    </row>
    <row r="58" spans="1:10">
      <c r="A58" s="6">
        <v>57</v>
      </c>
      <c r="B58" s="5" t="s">
        <v>724</v>
      </c>
      <c r="C58" s="5" t="s">
        <v>750</v>
      </c>
      <c r="D58" s="5" t="s">
        <v>751</v>
      </c>
      <c r="E58" s="5" t="s">
        <v>618</v>
      </c>
      <c r="F58" s="6" t="s">
        <v>91</v>
      </c>
      <c r="G58" s="5" t="s">
        <v>752</v>
      </c>
      <c r="H58" s="5" t="s">
        <v>633</v>
      </c>
      <c r="I58" s="5" t="s">
        <v>728</v>
      </c>
      <c r="J58" s="5" t="s">
        <v>263</v>
      </c>
    </row>
    <row r="59" spans="1:10">
      <c r="A59" s="6">
        <v>58</v>
      </c>
      <c r="B59" s="5" t="s">
        <v>724</v>
      </c>
      <c r="C59" s="5" t="s">
        <v>753</v>
      </c>
      <c r="D59" s="5" t="s">
        <v>660</v>
      </c>
      <c r="E59" s="5" t="s">
        <v>149</v>
      </c>
      <c r="F59" s="6" t="s">
        <v>4</v>
      </c>
      <c r="G59" s="5" t="s">
        <v>754</v>
      </c>
      <c r="H59" s="5" t="s">
        <v>59</v>
      </c>
      <c r="I59" s="5" t="s">
        <v>728</v>
      </c>
      <c r="J59" s="5" t="s">
        <v>263</v>
      </c>
    </row>
    <row r="60" spans="1:10">
      <c r="A60" s="6">
        <v>59</v>
      </c>
      <c r="B60" s="5" t="s">
        <v>755</v>
      </c>
      <c r="C60" s="5" t="s">
        <v>756</v>
      </c>
      <c r="D60" s="5" t="s">
        <v>757</v>
      </c>
      <c r="E60" s="5" t="s">
        <v>149</v>
      </c>
      <c r="F60" s="6" t="s">
        <v>4</v>
      </c>
      <c r="G60" s="5" t="s">
        <v>758</v>
      </c>
      <c r="H60" s="5" t="s">
        <v>59</v>
      </c>
      <c r="I60" s="5" t="s">
        <v>759</v>
      </c>
      <c r="J60" s="5" t="s">
        <v>271</v>
      </c>
    </row>
    <row r="61" spans="1:10">
      <c r="A61" s="6">
        <v>60</v>
      </c>
      <c r="B61" s="5" t="s">
        <v>755</v>
      </c>
      <c r="C61" s="5" t="s">
        <v>760</v>
      </c>
      <c r="D61" s="5" t="s">
        <v>761</v>
      </c>
      <c r="E61" s="5" t="s">
        <v>149</v>
      </c>
      <c r="F61" s="6" t="s">
        <v>4</v>
      </c>
      <c r="G61" s="5" t="s">
        <v>762</v>
      </c>
      <c r="H61" s="5" t="s">
        <v>59</v>
      </c>
      <c r="I61" s="5" t="s">
        <v>759</v>
      </c>
      <c r="J61" s="5" t="s">
        <v>263</v>
      </c>
    </row>
    <row r="62" spans="1:10">
      <c r="A62" s="6">
        <v>61</v>
      </c>
      <c r="B62" s="5" t="s">
        <v>755</v>
      </c>
      <c r="C62" s="5" t="s">
        <v>763</v>
      </c>
      <c r="D62" s="5" t="s">
        <v>764</v>
      </c>
      <c r="E62" s="5" t="s">
        <v>618</v>
      </c>
      <c r="F62" s="6" t="s">
        <v>4</v>
      </c>
      <c r="G62" s="5" t="s">
        <v>765</v>
      </c>
      <c r="H62" s="5" t="s">
        <v>766</v>
      </c>
      <c r="I62" s="5" t="s">
        <v>759</v>
      </c>
      <c r="J62" s="5" t="s">
        <v>263</v>
      </c>
    </row>
    <row r="63" spans="1:10">
      <c r="A63" s="6">
        <v>62</v>
      </c>
      <c r="B63" s="5" t="s">
        <v>755</v>
      </c>
      <c r="C63" s="5" t="s">
        <v>767</v>
      </c>
      <c r="D63" s="5" t="s">
        <v>768</v>
      </c>
      <c r="E63" s="5" t="s">
        <v>618</v>
      </c>
      <c r="F63" s="6" t="s">
        <v>4</v>
      </c>
      <c r="G63" s="5" t="s">
        <v>752</v>
      </c>
      <c r="H63" s="5" t="s">
        <v>633</v>
      </c>
      <c r="I63" s="5" t="s">
        <v>759</v>
      </c>
      <c r="J63" s="5" t="s">
        <v>271</v>
      </c>
    </row>
    <row r="64" spans="1:10">
      <c r="A64" s="6">
        <v>63</v>
      </c>
      <c r="B64" s="5" t="s">
        <v>755</v>
      </c>
      <c r="C64" s="5" t="s">
        <v>769</v>
      </c>
      <c r="D64" s="5" t="s">
        <v>770</v>
      </c>
      <c r="E64" s="5" t="s">
        <v>618</v>
      </c>
      <c r="F64" s="6" t="s">
        <v>4</v>
      </c>
      <c r="G64" s="5" t="s">
        <v>771</v>
      </c>
      <c r="H64" s="5" t="s">
        <v>772</v>
      </c>
      <c r="I64" s="5" t="s">
        <v>759</v>
      </c>
      <c r="J64" s="5" t="s">
        <v>263</v>
      </c>
    </row>
    <row r="65" spans="1:10">
      <c r="A65" s="6">
        <v>64</v>
      </c>
      <c r="B65" s="5" t="s">
        <v>755</v>
      </c>
      <c r="C65" s="5" t="s">
        <v>773</v>
      </c>
      <c r="D65" s="5" t="s">
        <v>774</v>
      </c>
      <c r="E65" s="5" t="s">
        <v>618</v>
      </c>
      <c r="F65" s="6" t="s">
        <v>91</v>
      </c>
      <c r="G65" s="5" t="s">
        <v>723</v>
      </c>
      <c r="H65" s="5" t="s">
        <v>633</v>
      </c>
      <c r="I65" s="5" t="s">
        <v>759</v>
      </c>
      <c r="J65" s="5" t="s">
        <v>263</v>
      </c>
    </row>
    <row r="66" spans="1:10">
      <c r="A66" s="6">
        <v>65</v>
      </c>
      <c r="B66" s="5" t="s">
        <v>755</v>
      </c>
      <c r="C66" s="5" t="s">
        <v>775</v>
      </c>
      <c r="D66" s="5" t="s">
        <v>776</v>
      </c>
      <c r="E66" s="5" t="s">
        <v>618</v>
      </c>
      <c r="F66" s="6" t="s">
        <v>4</v>
      </c>
      <c r="G66" s="5" t="s">
        <v>777</v>
      </c>
      <c r="H66" s="5" t="s">
        <v>633</v>
      </c>
      <c r="I66" s="5" t="s">
        <v>759</v>
      </c>
      <c r="J66" s="5" t="s">
        <v>263</v>
      </c>
    </row>
    <row r="67" spans="1:10">
      <c r="A67" s="6">
        <v>66</v>
      </c>
      <c r="B67" s="5" t="s">
        <v>755</v>
      </c>
      <c r="C67" s="5" t="s">
        <v>778</v>
      </c>
      <c r="D67" s="5" t="s">
        <v>779</v>
      </c>
      <c r="E67" s="5" t="s">
        <v>618</v>
      </c>
      <c r="F67" s="6" t="s">
        <v>91</v>
      </c>
      <c r="G67" s="5" t="s">
        <v>780</v>
      </c>
      <c r="H67" s="5" t="s">
        <v>633</v>
      </c>
      <c r="I67" s="5" t="s">
        <v>759</v>
      </c>
      <c r="J67" s="5" t="s">
        <v>781</v>
      </c>
    </row>
    <row r="68" spans="1:10">
      <c r="A68" s="6">
        <v>67</v>
      </c>
      <c r="B68" s="5" t="s">
        <v>755</v>
      </c>
      <c r="C68" s="5" t="s">
        <v>782</v>
      </c>
      <c r="D68" s="5" t="s">
        <v>783</v>
      </c>
      <c r="E68" s="5" t="s">
        <v>149</v>
      </c>
      <c r="F68" s="6" t="s">
        <v>4</v>
      </c>
      <c r="G68" s="5" t="s">
        <v>784</v>
      </c>
      <c r="H68" s="5" t="s">
        <v>785</v>
      </c>
      <c r="I68" s="5" t="s">
        <v>759</v>
      </c>
      <c r="J68" s="5" t="s">
        <v>263</v>
      </c>
    </row>
    <row r="69" ht="31" spans="1:10">
      <c r="A69" s="6">
        <v>68</v>
      </c>
      <c r="B69" s="5" t="s">
        <v>786</v>
      </c>
      <c r="C69" s="5" t="s">
        <v>787</v>
      </c>
      <c r="D69" s="5" t="s">
        <v>788</v>
      </c>
      <c r="E69" s="5" t="s">
        <v>130</v>
      </c>
      <c r="F69" s="6" t="s">
        <v>4</v>
      </c>
      <c r="G69" s="5" t="s">
        <v>789</v>
      </c>
      <c r="H69" s="5" t="s">
        <v>790</v>
      </c>
      <c r="I69" s="5" t="s">
        <v>791</v>
      </c>
      <c r="J69" s="5" t="s">
        <v>263</v>
      </c>
    </row>
    <row r="70" spans="1:10">
      <c r="A70" s="6">
        <v>69</v>
      </c>
      <c r="B70" s="5" t="s">
        <v>786</v>
      </c>
      <c r="C70" s="5" t="s">
        <v>792</v>
      </c>
      <c r="D70" s="5" t="s">
        <v>793</v>
      </c>
      <c r="E70" s="5" t="s">
        <v>130</v>
      </c>
      <c r="F70" s="6" t="s">
        <v>4</v>
      </c>
      <c r="G70" s="5" t="s">
        <v>794</v>
      </c>
      <c r="H70" s="5" t="s">
        <v>59</v>
      </c>
      <c r="I70" s="5" t="s">
        <v>791</v>
      </c>
      <c r="J70" s="5" t="s">
        <v>263</v>
      </c>
    </row>
    <row r="71" spans="1:10">
      <c r="A71" s="6">
        <v>70</v>
      </c>
      <c r="B71" s="5" t="s">
        <v>786</v>
      </c>
      <c r="C71" s="5" t="s">
        <v>795</v>
      </c>
      <c r="D71" s="5" t="s">
        <v>796</v>
      </c>
      <c r="E71" s="5" t="s">
        <v>149</v>
      </c>
      <c r="F71" s="6" t="s">
        <v>4</v>
      </c>
      <c r="G71" s="5" t="s">
        <v>797</v>
      </c>
      <c r="H71" s="5" t="s">
        <v>59</v>
      </c>
      <c r="I71" s="5" t="s">
        <v>791</v>
      </c>
      <c r="J71" s="5" t="s">
        <v>263</v>
      </c>
    </row>
    <row r="72" spans="1:10">
      <c r="A72" s="6">
        <v>71</v>
      </c>
      <c r="B72" s="5" t="s">
        <v>786</v>
      </c>
      <c r="C72" s="5" t="s">
        <v>798</v>
      </c>
      <c r="D72" s="5" t="s">
        <v>799</v>
      </c>
      <c r="E72" s="5" t="s">
        <v>130</v>
      </c>
      <c r="F72" s="6" t="s">
        <v>4</v>
      </c>
      <c r="G72" s="5" t="s">
        <v>800</v>
      </c>
      <c r="H72" s="5" t="s">
        <v>59</v>
      </c>
      <c r="I72" s="5" t="s">
        <v>791</v>
      </c>
      <c r="J72" s="5" t="s">
        <v>263</v>
      </c>
    </row>
    <row r="73" spans="1:10">
      <c r="A73" s="6">
        <v>72</v>
      </c>
      <c r="B73" s="5" t="s">
        <v>786</v>
      </c>
      <c r="C73" s="5" t="s">
        <v>801</v>
      </c>
      <c r="D73" s="5" t="s">
        <v>802</v>
      </c>
      <c r="E73" s="5" t="s">
        <v>618</v>
      </c>
      <c r="F73" s="6" t="s">
        <v>91</v>
      </c>
      <c r="G73" s="5" t="s">
        <v>803</v>
      </c>
      <c r="H73" s="5" t="s">
        <v>59</v>
      </c>
      <c r="I73" s="5" t="s">
        <v>791</v>
      </c>
      <c r="J73" s="5" t="s">
        <v>263</v>
      </c>
    </row>
    <row r="74" ht="31" spans="1:10">
      <c r="A74" s="6">
        <v>73</v>
      </c>
      <c r="B74" s="5" t="s">
        <v>786</v>
      </c>
      <c r="C74" s="5" t="s">
        <v>804</v>
      </c>
      <c r="D74" s="5" t="s">
        <v>805</v>
      </c>
      <c r="E74" s="5" t="s">
        <v>690</v>
      </c>
      <c r="F74" s="6" t="s">
        <v>5</v>
      </c>
      <c r="G74" s="5" t="s">
        <v>806</v>
      </c>
      <c r="H74" s="5" t="s">
        <v>807</v>
      </c>
      <c r="I74" s="5" t="s">
        <v>791</v>
      </c>
      <c r="J74" s="5" t="s">
        <v>314</v>
      </c>
    </row>
    <row r="75" ht="31" spans="1:10">
      <c r="A75" s="6">
        <v>74</v>
      </c>
      <c r="B75" s="5" t="s">
        <v>786</v>
      </c>
      <c r="C75" s="5" t="s">
        <v>808</v>
      </c>
      <c r="D75" s="5" t="s">
        <v>809</v>
      </c>
      <c r="E75" s="5" t="s">
        <v>605</v>
      </c>
      <c r="F75" s="6" t="s">
        <v>5</v>
      </c>
      <c r="G75" s="5" t="s">
        <v>810</v>
      </c>
      <c r="H75" s="5" t="s">
        <v>807</v>
      </c>
      <c r="I75" s="5" t="s">
        <v>791</v>
      </c>
      <c r="J75" s="5" t="s">
        <v>420</v>
      </c>
    </row>
    <row r="76" spans="1:10">
      <c r="A76" s="6">
        <v>75</v>
      </c>
      <c r="B76" s="5" t="s">
        <v>786</v>
      </c>
      <c r="C76" s="5" t="s">
        <v>811</v>
      </c>
      <c r="D76" s="5" t="s">
        <v>812</v>
      </c>
      <c r="E76" s="5" t="s">
        <v>130</v>
      </c>
      <c r="F76" s="6" t="s">
        <v>4</v>
      </c>
      <c r="G76" s="5" t="s">
        <v>813</v>
      </c>
      <c r="H76" s="5" t="s">
        <v>59</v>
      </c>
      <c r="I76" s="5" t="s">
        <v>791</v>
      </c>
      <c r="J76" s="5" t="s">
        <v>346</v>
      </c>
    </row>
    <row r="77" spans="1:10">
      <c r="A77" s="6">
        <v>76</v>
      </c>
      <c r="B77" s="5" t="s">
        <v>786</v>
      </c>
      <c r="C77" s="5" t="s">
        <v>814</v>
      </c>
      <c r="D77" s="5" t="s">
        <v>815</v>
      </c>
      <c r="E77" s="5" t="s">
        <v>130</v>
      </c>
      <c r="F77" s="6" t="s">
        <v>91</v>
      </c>
      <c r="G77" s="5" t="s">
        <v>816</v>
      </c>
      <c r="H77" s="5" t="s">
        <v>59</v>
      </c>
      <c r="I77" s="5" t="s">
        <v>791</v>
      </c>
      <c r="J77" s="5" t="s">
        <v>263</v>
      </c>
    </row>
    <row r="78" spans="1:10">
      <c r="A78" s="6">
        <v>77</v>
      </c>
      <c r="B78" s="5" t="s">
        <v>817</v>
      </c>
      <c r="C78" s="5" t="s">
        <v>818</v>
      </c>
      <c r="D78" s="5" t="s">
        <v>819</v>
      </c>
      <c r="E78" s="5" t="s">
        <v>130</v>
      </c>
      <c r="F78" s="6" t="s">
        <v>4</v>
      </c>
      <c r="G78" s="5" t="s">
        <v>820</v>
      </c>
      <c r="H78" s="5" t="s">
        <v>790</v>
      </c>
      <c r="I78" s="5" t="s">
        <v>821</v>
      </c>
      <c r="J78" s="5" t="s">
        <v>263</v>
      </c>
    </row>
    <row r="79" spans="1:10">
      <c r="A79" s="6">
        <v>78</v>
      </c>
      <c r="B79" s="5" t="s">
        <v>817</v>
      </c>
      <c r="C79" s="5" t="s">
        <v>792</v>
      </c>
      <c r="D79" s="5" t="s">
        <v>793</v>
      </c>
      <c r="E79" s="5" t="s">
        <v>130</v>
      </c>
      <c r="F79" s="6" t="s">
        <v>4</v>
      </c>
      <c r="G79" s="5" t="s">
        <v>822</v>
      </c>
      <c r="H79" s="5" t="s">
        <v>59</v>
      </c>
      <c r="I79" s="5" t="s">
        <v>821</v>
      </c>
      <c r="J79" s="5" t="s">
        <v>263</v>
      </c>
    </row>
    <row r="80" spans="1:10">
      <c r="A80" s="6">
        <v>79</v>
      </c>
      <c r="B80" s="5" t="s">
        <v>817</v>
      </c>
      <c r="C80" s="5" t="s">
        <v>795</v>
      </c>
      <c r="D80" s="5" t="s">
        <v>796</v>
      </c>
      <c r="E80" s="5" t="s">
        <v>149</v>
      </c>
      <c r="F80" s="6" t="s">
        <v>4</v>
      </c>
      <c r="G80" s="5" t="s">
        <v>823</v>
      </c>
      <c r="H80" s="5" t="s">
        <v>59</v>
      </c>
      <c r="I80" s="5" t="s">
        <v>821</v>
      </c>
      <c r="J80" s="5" t="s">
        <v>263</v>
      </c>
    </row>
    <row r="81" spans="1:10">
      <c r="A81" s="6">
        <v>80</v>
      </c>
      <c r="B81" s="5" t="s">
        <v>817</v>
      </c>
      <c r="C81" s="5" t="s">
        <v>801</v>
      </c>
      <c r="D81" s="5" t="s">
        <v>802</v>
      </c>
      <c r="E81" s="5" t="s">
        <v>618</v>
      </c>
      <c r="F81" s="6" t="s">
        <v>4</v>
      </c>
      <c r="G81" s="5" t="s">
        <v>824</v>
      </c>
      <c r="H81" s="5" t="s">
        <v>59</v>
      </c>
      <c r="I81" s="5" t="s">
        <v>821</v>
      </c>
      <c r="J81" s="5" t="s">
        <v>263</v>
      </c>
    </row>
    <row r="82" spans="1:10">
      <c r="A82" s="6">
        <v>81</v>
      </c>
      <c r="B82" s="5" t="s">
        <v>817</v>
      </c>
      <c r="C82" s="5" t="s">
        <v>825</v>
      </c>
      <c r="D82" s="5" t="s">
        <v>826</v>
      </c>
      <c r="E82" s="5" t="s">
        <v>130</v>
      </c>
      <c r="F82" s="6" t="s">
        <v>4</v>
      </c>
      <c r="G82" s="5" t="s">
        <v>827</v>
      </c>
      <c r="H82" s="5" t="s">
        <v>59</v>
      </c>
      <c r="I82" s="5" t="s">
        <v>821</v>
      </c>
      <c r="J82" s="5" t="s">
        <v>263</v>
      </c>
    </row>
    <row r="83" spans="1:10">
      <c r="A83" s="6">
        <v>82</v>
      </c>
      <c r="B83" s="5" t="s">
        <v>817</v>
      </c>
      <c r="C83" s="5" t="s">
        <v>828</v>
      </c>
      <c r="D83" s="5" t="s">
        <v>829</v>
      </c>
      <c r="E83" s="5" t="s">
        <v>149</v>
      </c>
      <c r="F83" s="6" t="s">
        <v>4</v>
      </c>
      <c r="G83" s="5" t="s">
        <v>830</v>
      </c>
      <c r="H83" s="5" t="s">
        <v>59</v>
      </c>
      <c r="I83" s="5" t="s">
        <v>821</v>
      </c>
      <c r="J83" s="5" t="s">
        <v>271</v>
      </c>
    </row>
    <row r="84" spans="1:10">
      <c r="A84" s="6">
        <v>83</v>
      </c>
      <c r="B84" s="5" t="s">
        <v>817</v>
      </c>
      <c r="C84" s="5" t="s">
        <v>831</v>
      </c>
      <c r="D84" s="5" t="s">
        <v>832</v>
      </c>
      <c r="E84" s="5" t="s">
        <v>149</v>
      </c>
      <c r="F84" s="6" t="s">
        <v>4</v>
      </c>
      <c r="G84" s="5" t="s">
        <v>833</v>
      </c>
      <c r="H84" s="5" t="s">
        <v>59</v>
      </c>
      <c r="I84" s="5" t="s">
        <v>821</v>
      </c>
      <c r="J84" s="5" t="s">
        <v>263</v>
      </c>
    </row>
    <row r="85" spans="1:10">
      <c r="A85" s="6">
        <v>84</v>
      </c>
      <c r="B85" s="5" t="s">
        <v>817</v>
      </c>
      <c r="C85" s="5" t="s">
        <v>834</v>
      </c>
      <c r="D85" s="5" t="s">
        <v>835</v>
      </c>
      <c r="E85" s="5" t="s">
        <v>690</v>
      </c>
      <c r="F85" s="6" t="s">
        <v>5</v>
      </c>
      <c r="G85" s="5" t="s">
        <v>836</v>
      </c>
      <c r="H85" s="5" t="s">
        <v>837</v>
      </c>
      <c r="I85" s="5" t="s">
        <v>821</v>
      </c>
      <c r="J85" s="5" t="s">
        <v>314</v>
      </c>
    </row>
    <row r="86" spans="1:10">
      <c r="A86" s="6">
        <v>85</v>
      </c>
      <c r="B86" s="5" t="s">
        <v>838</v>
      </c>
      <c r="C86" s="5" t="s">
        <v>839</v>
      </c>
      <c r="D86" s="5" t="s">
        <v>840</v>
      </c>
      <c r="E86" s="5" t="s">
        <v>130</v>
      </c>
      <c r="F86" s="6" t="s">
        <v>4</v>
      </c>
      <c r="G86" s="5" t="s">
        <v>841</v>
      </c>
      <c r="H86" s="5" t="s">
        <v>842</v>
      </c>
      <c r="I86" s="5" t="s">
        <v>571</v>
      </c>
      <c r="J86" s="5" t="s">
        <v>263</v>
      </c>
    </row>
    <row r="87" spans="1:10">
      <c r="A87" s="6">
        <v>86</v>
      </c>
      <c r="B87" s="5" t="s">
        <v>838</v>
      </c>
      <c r="C87" s="5" t="s">
        <v>567</v>
      </c>
      <c r="D87" s="5" t="s">
        <v>568</v>
      </c>
      <c r="E87" s="5" t="s">
        <v>130</v>
      </c>
      <c r="F87" s="6" t="s">
        <v>4</v>
      </c>
      <c r="G87" s="5" t="s">
        <v>843</v>
      </c>
      <c r="H87" s="5" t="s">
        <v>844</v>
      </c>
      <c r="I87" s="5" t="s">
        <v>571</v>
      </c>
      <c r="J87" s="5" t="s">
        <v>263</v>
      </c>
    </row>
    <row r="88" spans="1:10">
      <c r="A88" s="6">
        <v>87</v>
      </c>
      <c r="B88" s="5" t="s">
        <v>838</v>
      </c>
      <c r="C88" s="5" t="s">
        <v>845</v>
      </c>
      <c r="D88" s="5" t="s">
        <v>846</v>
      </c>
      <c r="E88" s="5" t="s">
        <v>618</v>
      </c>
      <c r="F88" s="6" t="s">
        <v>4</v>
      </c>
      <c r="G88" s="5" t="s">
        <v>847</v>
      </c>
      <c r="H88" s="5" t="s">
        <v>59</v>
      </c>
      <c r="I88" s="5" t="s">
        <v>571</v>
      </c>
      <c r="J88" s="5" t="s">
        <v>263</v>
      </c>
    </row>
    <row r="89" spans="1:10">
      <c r="A89" s="6">
        <v>88</v>
      </c>
      <c r="B89" s="5" t="s">
        <v>838</v>
      </c>
      <c r="C89" s="5" t="s">
        <v>848</v>
      </c>
      <c r="D89" s="5" t="s">
        <v>849</v>
      </c>
      <c r="E89" s="5" t="s">
        <v>130</v>
      </c>
      <c r="F89" s="6" t="s">
        <v>4</v>
      </c>
      <c r="G89" s="5" t="s">
        <v>850</v>
      </c>
      <c r="H89" s="5" t="s">
        <v>59</v>
      </c>
      <c r="I89" s="5" t="s">
        <v>571</v>
      </c>
      <c r="J89" s="5" t="s">
        <v>263</v>
      </c>
    </row>
    <row r="90" spans="1:10">
      <c r="A90" s="6">
        <v>89</v>
      </c>
      <c r="B90" s="5" t="s">
        <v>838</v>
      </c>
      <c r="C90" s="5" t="s">
        <v>851</v>
      </c>
      <c r="D90" s="5" t="s">
        <v>852</v>
      </c>
      <c r="E90" s="5" t="s">
        <v>618</v>
      </c>
      <c r="F90" s="6" t="s">
        <v>91</v>
      </c>
      <c r="G90" s="5" t="s">
        <v>853</v>
      </c>
      <c r="H90" s="5" t="s">
        <v>59</v>
      </c>
      <c r="I90" s="5" t="s">
        <v>571</v>
      </c>
      <c r="J90" s="5" t="s">
        <v>263</v>
      </c>
    </row>
    <row r="91" spans="1:10">
      <c r="A91" s="6">
        <v>90</v>
      </c>
      <c r="B91" s="5" t="s">
        <v>838</v>
      </c>
      <c r="C91" s="5" t="s">
        <v>854</v>
      </c>
      <c r="D91" s="5" t="s">
        <v>855</v>
      </c>
      <c r="E91" s="5" t="s">
        <v>618</v>
      </c>
      <c r="F91" s="6" t="s">
        <v>91</v>
      </c>
      <c r="G91" s="5" t="s">
        <v>856</v>
      </c>
      <c r="H91" s="5" t="s">
        <v>59</v>
      </c>
      <c r="I91" s="5" t="s">
        <v>571</v>
      </c>
      <c r="J91" s="5" t="s">
        <v>263</v>
      </c>
    </row>
    <row r="92" spans="1:10">
      <c r="A92" s="6">
        <v>91</v>
      </c>
      <c r="B92" s="5" t="s">
        <v>838</v>
      </c>
      <c r="C92" s="5" t="s">
        <v>857</v>
      </c>
      <c r="D92" s="5" t="s">
        <v>858</v>
      </c>
      <c r="E92" s="5" t="s">
        <v>130</v>
      </c>
      <c r="F92" s="6" t="s">
        <v>91</v>
      </c>
      <c r="G92" s="5" t="s">
        <v>859</v>
      </c>
      <c r="H92" s="5" t="s">
        <v>59</v>
      </c>
      <c r="I92" s="5" t="s">
        <v>571</v>
      </c>
      <c r="J92" s="5" t="s">
        <v>263</v>
      </c>
    </row>
    <row r="93" spans="1:10">
      <c r="A93" s="6">
        <v>92</v>
      </c>
      <c r="B93" s="5" t="s">
        <v>838</v>
      </c>
      <c r="C93" s="5" t="s">
        <v>860</v>
      </c>
      <c r="D93" s="5" t="s">
        <v>861</v>
      </c>
      <c r="E93" s="5" t="s">
        <v>130</v>
      </c>
      <c r="F93" s="6" t="s">
        <v>91</v>
      </c>
      <c r="G93" s="5" t="s">
        <v>862</v>
      </c>
      <c r="H93" s="5" t="s">
        <v>59</v>
      </c>
      <c r="I93" s="5" t="s">
        <v>571</v>
      </c>
      <c r="J93" s="5" t="s">
        <v>302</v>
      </c>
    </row>
    <row r="94" spans="1:10">
      <c r="A94" s="6">
        <v>93</v>
      </c>
      <c r="B94" s="5" t="s">
        <v>838</v>
      </c>
      <c r="C94" s="5" t="s">
        <v>863</v>
      </c>
      <c r="D94" s="5" t="s">
        <v>689</v>
      </c>
      <c r="E94" s="5" t="s">
        <v>690</v>
      </c>
      <c r="F94" s="6" t="s">
        <v>4</v>
      </c>
      <c r="G94" s="5" t="s">
        <v>691</v>
      </c>
      <c r="H94" s="5" t="s">
        <v>92</v>
      </c>
      <c r="I94" s="5" t="s">
        <v>571</v>
      </c>
      <c r="J94" s="5" t="s">
        <v>314</v>
      </c>
    </row>
    <row r="95" spans="1:10">
      <c r="A95" s="6">
        <v>94</v>
      </c>
      <c r="B95" s="5" t="s">
        <v>838</v>
      </c>
      <c r="C95" s="5" t="s">
        <v>693</v>
      </c>
      <c r="D95" s="5" t="s">
        <v>694</v>
      </c>
      <c r="E95" s="5" t="s">
        <v>130</v>
      </c>
      <c r="F95" s="6" t="s">
        <v>5</v>
      </c>
      <c r="G95" s="5" t="s">
        <v>864</v>
      </c>
      <c r="H95" s="5" t="s">
        <v>696</v>
      </c>
      <c r="I95" s="5" t="s">
        <v>865</v>
      </c>
      <c r="J95" s="5" t="s">
        <v>314</v>
      </c>
    </row>
    <row r="96" spans="1:10">
      <c r="A96" s="6">
        <v>95</v>
      </c>
      <c r="B96" s="5" t="s">
        <v>838</v>
      </c>
      <c r="C96" s="5" t="s">
        <v>866</v>
      </c>
      <c r="D96" s="5" t="s">
        <v>867</v>
      </c>
      <c r="E96" s="5" t="s">
        <v>130</v>
      </c>
      <c r="F96" s="6" t="s">
        <v>5</v>
      </c>
      <c r="G96" s="5" t="s">
        <v>868</v>
      </c>
      <c r="H96" s="5" t="s">
        <v>59</v>
      </c>
      <c r="I96" s="5" t="s">
        <v>865</v>
      </c>
      <c r="J96" s="5" t="s">
        <v>314</v>
      </c>
    </row>
    <row r="97" spans="1:10">
      <c r="A97" s="6">
        <v>96</v>
      </c>
      <c r="B97" s="5" t="s">
        <v>838</v>
      </c>
      <c r="C97" s="5" t="s">
        <v>869</v>
      </c>
      <c r="D97" s="5" t="s">
        <v>870</v>
      </c>
      <c r="E97" s="5" t="s">
        <v>130</v>
      </c>
      <c r="F97" s="6" t="s">
        <v>4</v>
      </c>
      <c r="G97" s="5" t="s">
        <v>871</v>
      </c>
      <c r="H97" s="5" t="s">
        <v>59</v>
      </c>
      <c r="I97" s="5" t="s">
        <v>571</v>
      </c>
      <c r="J97" s="5" t="s">
        <v>314</v>
      </c>
    </row>
    <row r="98" spans="1:10">
      <c r="A98" s="6">
        <v>97</v>
      </c>
      <c r="B98" s="5" t="s">
        <v>838</v>
      </c>
      <c r="C98" s="5" t="s">
        <v>872</v>
      </c>
      <c r="D98" s="5" t="s">
        <v>873</v>
      </c>
      <c r="E98" s="5" t="s">
        <v>149</v>
      </c>
      <c r="F98" s="6" t="s">
        <v>5</v>
      </c>
      <c r="G98" s="5" t="s">
        <v>874</v>
      </c>
      <c r="H98" s="5" t="s">
        <v>875</v>
      </c>
      <c r="I98" s="5" t="s">
        <v>571</v>
      </c>
      <c r="J98" s="5" t="s">
        <v>314</v>
      </c>
    </row>
    <row r="99" ht="31" spans="1:10">
      <c r="A99" s="6">
        <v>98</v>
      </c>
      <c r="B99" s="5" t="s">
        <v>838</v>
      </c>
      <c r="C99" s="5" t="s">
        <v>332</v>
      </c>
      <c r="D99" s="5" t="s">
        <v>876</v>
      </c>
      <c r="E99" s="5" t="s">
        <v>130</v>
      </c>
      <c r="F99" s="6" t="s">
        <v>4</v>
      </c>
      <c r="G99" s="5" t="s">
        <v>877</v>
      </c>
      <c r="H99" s="5" t="s">
        <v>59</v>
      </c>
      <c r="I99" s="5" t="s">
        <v>571</v>
      </c>
      <c r="J99" s="5" t="s">
        <v>346</v>
      </c>
    </row>
    <row r="100" spans="1:10">
      <c r="A100" s="6">
        <v>99</v>
      </c>
      <c r="B100" s="5" t="s">
        <v>878</v>
      </c>
      <c r="C100" s="5" t="s">
        <v>337</v>
      </c>
      <c r="D100" s="5" t="s">
        <v>879</v>
      </c>
      <c r="E100" s="5" t="s">
        <v>339</v>
      </c>
      <c r="F100" s="6" t="s">
        <v>4</v>
      </c>
      <c r="G100" s="5" t="s">
        <v>880</v>
      </c>
      <c r="H100" s="5" t="s">
        <v>340</v>
      </c>
      <c r="I100" s="5" t="s">
        <v>540</v>
      </c>
      <c r="J100" s="5" t="s">
        <v>342</v>
      </c>
    </row>
    <row r="101" spans="1:10">
      <c r="A101" s="6">
        <v>100</v>
      </c>
      <c r="B101" s="5" t="s">
        <v>878</v>
      </c>
      <c r="C101" s="5" t="s">
        <v>881</v>
      </c>
      <c r="D101" s="5" t="s">
        <v>882</v>
      </c>
      <c r="E101" s="5" t="s">
        <v>345</v>
      </c>
      <c r="F101" s="6" t="s">
        <v>4</v>
      </c>
      <c r="G101" s="5" t="s">
        <v>883</v>
      </c>
      <c r="H101" s="5" t="s">
        <v>340</v>
      </c>
      <c r="I101" s="5" t="s">
        <v>540</v>
      </c>
      <c r="J101" s="5" t="s">
        <v>346</v>
      </c>
    </row>
    <row r="102" ht="31" spans="1:10">
      <c r="A102" s="6">
        <v>101</v>
      </c>
      <c r="B102" s="5" t="s">
        <v>878</v>
      </c>
      <c r="C102" s="5" t="s">
        <v>884</v>
      </c>
      <c r="D102" s="5" t="s">
        <v>885</v>
      </c>
      <c r="E102" s="5" t="s">
        <v>349</v>
      </c>
      <c r="F102" s="6" t="s">
        <v>4</v>
      </c>
      <c r="G102" s="5" t="s">
        <v>348</v>
      </c>
      <c r="H102" s="5" t="s">
        <v>350</v>
      </c>
      <c r="I102" s="5" t="s">
        <v>540</v>
      </c>
      <c r="J102" s="5" t="s">
        <v>346</v>
      </c>
    </row>
    <row r="103" spans="1:10">
      <c r="A103" s="6">
        <v>102</v>
      </c>
      <c r="B103" s="5" t="s">
        <v>878</v>
      </c>
      <c r="C103" s="5" t="s">
        <v>886</v>
      </c>
      <c r="D103" s="5" t="s">
        <v>887</v>
      </c>
      <c r="E103" s="5" t="s">
        <v>130</v>
      </c>
      <c r="F103" s="6" t="s">
        <v>4</v>
      </c>
      <c r="G103" s="5" t="s">
        <v>888</v>
      </c>
      <c r="H103" s="5" t="s">
        <v>889</v>
      </c>
      <c r="I103" s="5" t="s">
        <v>540</v>
      </c>
      <c r="J103" s="5" t="s">
        <v>355</v>
      </c>
    </row>
    <row r="104" spans="1:10">
      <c r="A104" s="6">
        <v>103</v>
      </c>
      <c r="B104" s="5" t="s">
        <v>878</v>
      </c>
      <c r="C104" s="5" t="s">
        <v>890</v>
      </c>
      <c r="D104" s="5" t="s">
        <v>891</v>
      </c>
      <c r="E104" s="5" t="s">
        <v>149</v>
      </c>
      <c r="F104" s="6" t="s">
        <v>4</v>
      </c>
      <c r="G104" s="5" t="s">
        <v>892</v>
      </c>
      <c r="H104" s="5" t="s">
        <v>59</v>
      </c>
      <c r="I104" s="5" t="s">
        <v>540</v>
      </c>
      <c r="J104" s="5" t="s">
        <v>893</v>
      </c>
    </row>
    <row r="105" ht="31" spans="1:10">
      <c r="A105" s="6">
        <v>104</v>
      </c>
      <c r="B105" s="5" t="s">
        <v>878</v>
      </c>
      <c r="C105" s="5" t="s">
        <v>357</v>
      </c>
      <c r="D105" s="5" t="s">
        <v>894</v>
      </c>
      <c r="E105" s="5" t="s">
        <v>349</v>
      </c>
      <c r="F105" s="6" t="s">
        <v>91</v>
      </c>
      <c r="G105" s="5" t="s">
        <v>895</v>
      </c>
      <c r="H105" s="5" t="s">
        <v>59</v>
      </c>
      <c r="I105" s="5" t="s">
        <v>540</v>
      </c>
      <c r="J105" s="5" t="s">
        <v>346</v>
      </c>
    </row>
    <row r="106" spans="1:10">
      <c r="A106" s="6">
        <v>105</v>
      </c>
      <c r="B106" s="5" t="s">
        <v>878</v>
      </c>
      <c r="C106" s="5" t="s">
        <v>896</v>
      </c>
      <c r="D106" s="5" t="s">
        <v>897</v>
      </c>
      <c r="E106" s="5" t="s">
        <v>130</v>
      </c>
      <c r="F106" s="6" t="s">
        <v>91</v>
      </c>
      <c r="G106" s="5" t="s">
        <v>898</v>
      </c>
      <c r="H106" s="5" t="s">
        <v>59</v>
      </c>
      <c r="I106" s="5" t="s">
        <v>540</v>
      </c>
      <c r="J106" s="5" t="s">
        <v>346</v>
      </c>
    </row>
    <row r="107" spans="1:10">
      <c r="A107" s="6">
        <v>106</v>
      </c>
      <c r="B107" s="5" t="s">
        <v>878</v>
      </c>
      <c r="C107" s="5" t="s">
        <v>361</v>
      </c>
      <c r="D107" s="5" t="s">
        <v>899</v>
      </c>
      <c r="E107" s="5" t="s">
        <v>130</v>
      </c>
      <c r="F107" s="6" t="s">
        <v>91</v>
      </c>
      <c r="G107" s="5" t="s">
        <v>900</v>
      </c>
      <c r="H107" s="5" t="s">
        <v>364</v>
      </c>
      <c r="I107" s="5" t="s">
        <v>901</v>
      </c>
      <c r="J107" s="5" t="s">
        <v>346</v>
      </c>
    </row>
    <row r="108" spans="1:10">
      <c r="A108" s="6">
        <v>107</v>
      </c>
      <c r="B108" s="5" t="s">
        <v>878</v>
      </c>
      <c r="C108" s="5" t="s">
        <v>902</v>
      </c>
      <c r="D108" s="5" t="s">
        <v>903</v>
      </c>
      <c r="E108" s="5" t="s">
        <v>130</v>
      </c>
      <c r="F108" s="6" t="s">
        <v>91</v>
      </c>
      <c r="G108" s="5" t="s">
        <v>904</v>
      </c>
      <c r="H108" s="5" t="s">
        <v>59</v>
      </c>
      <c r="I108" s="5" t="s">
        <v>540</v>
      </c>
      <c r="J108" s="5" t="s">
        <v>346</v>
      </c>
    </row>
    <row r="109" spans="1:10">
      <c r="A109" s="6">
        <v>108</v>
      </c>
      <c r="B109" s="5" t="s">
        <v>905</v>
      </c>
      <c r="C109" s="5" t="s">
        <v>906</v>
      </c>
      <c r="D109" s="5" t="s">
        <v>663</v>
      </c>
      <c r="E109" s="5" t="s">
        <v>605</v>
      </c>
      <c r="F109" s="6" t="s">
        <v>91</v>
      </c>
      <c r="G109" s="5" t="s">
        <v>907</v>
      </c>
      <c r="H109" s="5" t="s">
        <v>908</v>
      </c>
      <c r="I109" s="5" t="s">
        <v>540</v>
      </c>
      <c r="J109" s="5" t="s">
        <v>376</v>
      </c>
    </row>
    <row r="110" ht="31" spans="1:10">
      <c r="A110" s="6">
        <v>109</v>
      </c>
      <c r="B110" s="5" t="s">
        <v>905</v>
      </c>
      <c r="C110" s="5" t="s">
        <v>909</v>
      </c>
      <c r="D110" s="5" t="s">
        <v>910</v>
      </c>
      <c r="E110" s="5" t="s">
        <v>149</v>
      </c>
      <c r="F110" s="6" t="s">
        <v>523</v>
      </c>
      <c r="G110" s="5" t="s">
        <v>911</v>
      </c>
      <c r="H110" s="5" t="s">
        <v>912</v>
      </c>
      <c r="I110" s="5" t="s">
        <v>540</v>
      </c>
      <c r="J110" s="5" t="s">
        <v>913</v>
      </c>
    </row>
    <row r="111" spans="1:10">
      <c r="A111" s="6">
        <v>110</v>
      </c>
      <c r="B111" s="5" t="s">
        <v>905</v>
      </c>
      <c r="C111" s="5" t="s">
        <v>914</v>
      </c>
      <c r="D111" s="5" t="s">
        <v>915</v>
      </c>
      <c r="E111" s="5" t="s">
        <v>130</v>
      </c>
      <c r="F111" s="6" t="s">
        <v>523</v>
      </c>
      <c r="G111" s="5" t="s">
        <v>916</v>
      </c>
      <c r="H111" s="5" t="s">
        <v>917</v>
      </c>
      <c r="I111" s="5" t="s">
        <v>540</v>
      </c>
      <c r="J111" s="5" t="s">
        <v>918</v>
      </c>
    </row>
    <row r="112" spans="1:10">
      <c r="A112" s="6">
        <v>111</v>
      </c>
      <c r="B112" s="5" t="s">
        <v>905</v>
      </c>
      <c r="C112" s="5" t="s">
        <v>919</v>
      </c>
      <c r="D112" s="5" t="s">
        <v>920</v>
      </c>
      <c r="E112" s="5" t="s">
        <v>474</v>
      </c>
      <c r="F112" s="6" t="s">
        <v>523</v>
      </c>
      <c r="G112" s="5" t="s">
        <v>921</v>
      </c>
      <c r="H112" s="5" t="s">
        <v>922</v>
      </c>
      <c r="I112" s="5" t="s">
        <v>540</v>
      </c>
      <c r="J112" s="5" t="s">
        <v>477</v>
      </c>
    </row>
  </sheetData>
  <autoFilter xmlns:etc="http://www.wps.cn/officeDocument/2017/etCustomData" ref="A1:J112" etc:filterBottomFollowUsedRange="0">
    <extLst/>
  </autoFilter>
  <conditionalFormatting sqref="F2:F162">
    <cfRule type="cellIs" dxfId="0" priority="1" operator="equal">
      <formula>"类目强制"</formula>
    </cfRule>
    <cfRule type="cellIs" dxfId="1" priority="2" operator="equal">
      <formula>"必填"</formula>
    </cfRule>
  </conditionalFormatting>
  <dataValidations count="1">
    <dataValidation type="list" sqref="F2:F162">
      <formula1>"必填,类目强制,推荐,选填,系统"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L2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26" customWidth="1"/>
    <col min="2" max="2" width="16" customWidth="1"/>
    <col min="3" max="6" width="11" customWidth="1"/>
    <col min="7" max="8" width="8" customWidth="1"/>
    <col min="9" max="9" width="10" customWidth="1"/>
    <col min="10" max="11" width="11" customWidth="1"/>
    <col min="12" max="12" width="34" customWidth="1"/>
  </cols>
  <sheetData>
    <row r="1" ht="40" customHeight="1" spans="1:12">
      <c r="A1" s="4" t="s">
        <v>923</v>
      </c>
      <c r="B1" s="4" t="s">
        <v>924</v>
      </c>
      <c r="C1" s="4" t="s">
        <v>925</v>
      </c>
      <c r="D1" s="4" t="s">
        <v>926</v>
      </c>
      <c r="E1" s="4" t="s">
        <v>927</v>
      </c>
      <c r="F1" s="4" t="s">
        <v>928</v>
      </c>
      <c r="G1" s="4" t="s">
        <v>728</v>
      </c>
      <c r="H1" s="4" t="s">
        <v>759</v>
      </c>
      <c r="I1" s="4" t="s">
        <v>791</v>
      </c>
      <c r="J1" s="4" t="s">
        <v>821</v>
      </c>
      <c r="K1" s="4" t="s">
        <v>571</v>
      </c>
      <c r="L1" s="4" t="s">
        <v>929</v>
      </c>
    </row>
    <row r="2" ht="22" customHeight="1" spans="1:12">
      <c r="A2" s="5" t="s">
        <v>930</v>
      </c>
      <c r="B2" s="5" t="s">
        <v>931</v>
      </c>
      <c r="C2" s="6" t="s">
        <v>59</v>
      </c>
      <c r="D2" s="6" t="s">
        <v>59</v>
      </c>
      <c r="E2" s="6" t="s">
        <v>932</v>
      </c>
      <c r="F2" s="6" t="s">
        <v>59</v>
      </c>
      <c r="G2" s="6" t="s">
        <v>59</v>
      </c>
      <c r="H2" s="6" t="s">
        <v>59</v>
      </c>
      <c r="I2" s="6" t="s">
        <v>933</v>
      </c>
      <c r="J2" s="6" t="s">
        <v>933</v>
      </c>
      <c r="K2" s="6" t="s">
        <v>932</v>
      </c>
      <c r="L2" s="5" t="s">
        <v>934</v>
      </c>
    </row>
    <row r="3" ht="22" customHeight="1" spans="1:12">
      <c r="A3" s="5" t="s">
        <v>935</v>
      </c>
      <c r="B3" s="5" t="s">
        <v>931</v>
      </c>
      <c r="C3" s="6" t="s">
        <v>933</v>
      </c>
      <c r="D3" s="6" t="s">
        <v>933</v>
      </c>
      <c r="E3" s="6" t="s">
        <v>932</v>
      </c>
      <c r="F3" s="6" t="s">
        <v>59</v>
      </c>
      <c r="G3" s="6" t="s">
        <v>933</v>
      </c>
      <c r="H3" s="6" t="s">
        <v>932</v>
      </c>
      <c r="I3" s="6" t="s">
        <v>933</v>
      </c>
      <c r="J3" s="6" t="s">
        <v>59</v>
      </c>
      <c r="K3" s="6" t="s">
        <v>932</v>
      </c>
      <c r="L3" s="5" t="s">
        <v>936</v>
      </c>
    </row>
    <row r="4" ht="22" customHeight="1" spans="1:12">
      <c r="A4" s="5" t="s">
        <v>693</v>
      </c>
      <c r="B4" s="5" t="s">
        <v>937</v>
      </c>
      <c r="C4" s="6" t="s">
        <v>59</v>
      </c>
      <c r="D4" s="6" t="s">
        <v>59</v>
      </c>
      <c r="E4" s="6" t="s">
        <v>932</v>
      </c>
      <c r="F4" s="6" t="s">
        <v>59</v>
      </c>
      <c r="G4" s="6" t="s">
        <v>59</v>
      </c>
      <c r="H4" s="6" t="s">
        <v>59</v>
      </c>
      <c r="I4" s="6" t="s">
        <v>59</v>
      </c>
      <c r="J4" s="6" t="s">
        <v>59</v>
      </c>
      <c r="K4" s="6" t="s">
        <v>932</v>
      </c>
      <c r="L4" s="5" t="s">
        <v>322</v>
      </c>
    </row>
    <row r="5" ht="22" customHeight="1" spans="1:12">
      <c r="A5" s="5" t="s">
        <v>866</v>
      </c>
      <c r="B5" s="5" t="s">
        <v>319</v>
      </c>
      <c r="C5" s="6" t="s">
        <v>59</v>
      </c>
      <c r="D5" s="6" t="s">
        <v>59</v>
      </c>
      <c r="E5" s="6" t="s">
        <v>932</v>
      </c>
      <c r="F5" s="6" t="s">
        <v>59</v>
      </c>
      <c r="G5" s="6" t="s">
        <v>59</v>
      </c>
      <c r="H5" s="6" t="s">
        <v>59</v>
      </c>
      <c r="I5" s="6" t="s">
        <v>59</v>
      </c>
      <c r="J5" s="6" t="s">
        <v>59</v>
      </c>
      <c r="K5" s="6" t="s">
        <v>932</v>
      </c>
      <c r="L5" s="5" t="s">
        <v>938</v>
      </c>
    </row>
    <row r="6" ht="22" customHeight="1" spans="1:12">
      <c r="A6" s="5" t="s">
        <v>939</v>
      </c>
      <c r="B6" s="5" t="s">
        <v>327</v>
      </c>
      <c r="C6" s="6" t="s">
        <v>59</v>
      </c>
      <c r="D6" s="6" t="s">
        <v>59</v>
      </c>
      <c r="E6" s="6" t="s">
        <v>932</v>
      </c>
      <c r="F6" s="6" t="s">
        <v>59</v>
      </c>
      <c r="G6" s="6" t="s">
        <v>59</v>
      </c>
      <c r="H6" s="6" t="s">
        <v>59</v>
      </c>
      <c r="I6" s="6" t="s">
        <v>933</v>
      </c>
      <c r="J6" s="6" t="s">
        <v>933</v>
      </c>
      <c r="K6" s="6" t="s">
        <v>932</v>
      </c>
      <c r="L6" s="5" t="s">
        <v>940</v>
      </c>
    </row>
    <row r="7" ht="22" customHeight="1" spans="1:12">
      <c r="A7" s="5" t="s">
        <v>941</v>
      </c>
      <c r="B7" s="5" t="s">
        <v>327</v>
      </c>
      <c r="C7" s="6" t="s">
        <v>933</v>
      </c>
      <c r="D7" s="6" t="s">
        <v>59</v>
      </c>
      <c r="E7" s="6" t="s">
        <v>932</v>
      </c>
      <c r="F7" s="6" t="s">
        <v>59</v>
      </c>
      <c r="G7" s="6" t="s">
        <v>59</v>
      </c>
      <c r="H7" s="6" t="s">
        <v>59</v>
      </c>
      <c r="I7" s="6" t="s">
        <v>59</v>
      </c>
      <c r="J7" s="6" t="s">
        <v>59</v>
      </c>
      <c r="K7" s="6" t="s">
        <v>59</v>
      </c>
      <c r="L7" s="5" t="s">
        <v>942</v>
      </c>
    </row>
    <row r="8" ht="22" customHeight="1" spans="1:12">
      <c r="A8" s="5" t="s">
        <v>943</v>
      </c>
      <c r="B8" s="5" t="s">
        <v>944</v>
      </c>
      <c r="C8" s="6" t="s">
        <v>933</v>
      </c>
      <c r="D8" s="6" t="s">
        <v>59</v>
      </c>
      <c r="E8" s="6" t="s">
        <v>932</v>
      </c>
      <c r="F8" s="6" t="s">
        <v>59</v>
      </c>
      <c r="G8" s="6" t="s">
        <v>59</v>
      </c>
      <c r="H8" s="6" t="s">
        <v>59</v>
      </c>
      <c r="I8" s="6" t="s">
        <v>59</v>
      </c>
      <c r="J8" s="6" t="s">
        <v>59</v>
      </c>
      <c r="K8" s="6" t="s">
        <v>933</v>
      </c>
      <c r="L8" s="5" t="s">
        <v>945</v>
      </c>
    </row>
    <row r="9" ht="22" customHeight="1" spans="1:12">
      <c r="A9" s="5" t="s">
        <v>946</v>
      </c>
      <c r="B9" s="5" t="s">
        <v>83</v>
      </c>
      <c r="C9" s="6" t="s">
        <v>933</v>
      </c>
      <c r="D9" s="6" t="s">
        <v>933</v>
      </c>
      <c r="E9" s="6" t="s">
        <v>932</v>
      </c>
      <c r="F9" s="6" t="s">
        <v>59</v>
      </c>
      <c r="G9" s="6" t="s">
        <v>933</v>
      </c>
      <c r="H9" s="6" t="s">
        <v>933</v>
      </c>
      <c r="I9" s="6" t="s">
        <v>933</v>
      </c>
      <c r="J9" s="6" t="s">
        <v>933</v>
      </c>
      <c r="K9" s="6" t="s">
        <v>932</v>
      </c>
      <c r="L9" s="5" t="s">
        <v>947</v>
      </c>
    </row>
    <row r="10" ht="22" customHeight="1" spans="1:12">
      <c r="A10" s="5" t="s">
        <v>948</v>
      </c>
      <c r="B10" s="5" t="s">
        <v>83</v>
      </c>
      <c r="C10" s="6" t="s">
        <v>933</v>
      </c>
      <c r="D10" s="6" t="s">
        <v>932</v>
      </c>
      <c r="E10" s="6" t="s">
        <v>59</v>
      </c>
      <c r="F10" s="6" t="s">
        <v>59</v>
      </c>
      <c r="G10" s="6" t="s">
        <v>933</v>
      </c>
      <c r="H10" s="6" t="s">
        <v>932</v>
      </c>
      <c r="I10" s="6" t="s">
        <v>59</v>
      </c>
      <c r="J10" s="6" t="s">
        <v>59</v>
      </c>
      <c r="K10" s="6" t="s">
        <v>59</v>
      </c>
      <c r="L10" s="5" t="s">
        <v>949</v>
      </c>
    </row>
    <row r="11" ht="22" customHeight="1" spans="1:12">
      <c r="A11" s="5" t="s">
        <v>950</v>
      </c>
      <c r="B11" s="5" t="s">
        <v>83</v>
      </c>
      <c r="C11" s="6" t="s">
        <v>932</v>
      </c>
      <c r="D11" s="6" t="s">
        <v>932</v>
      </c>
      <c r="E11" s="6" t="s">
        <v>933</v>
      </c>
      <c r="F11" s="6" t="s">
        <v>59</v>
      </c>
      <c r="G11" s="6" t="s">
        <v>59</v>
      </c>
      <c r="H11" s="6" t="s">
        <v>59</v>
      </c>
      <c r="I11" s="6" t="s">
        <v>59</v>
      </c>
      <c r="J11" s="6" t="s">
        <v>59</v>
      </c>
      <c r="K11" s="6" t="s">
        <v>59</v>
      </c>
      <c r="L11" s="5" t="s">
        <v>951</v>
      </c>
    </row>
    <row r="12" ht="22" customHeight="1" spans="1:12">
      <c r="A12" s="5" t="s">
        <v>952</v>
      </c>
      <c r="B12" s="5" t="s">
        <v>83</v>
      </c>
      <c r="C12" s="6" t="s">
        <v>59</v>
      </c>
      <c r="D12" s="6" t="s">
        <v>59</v>
      </c>
      <c r="E12" s="6" t="s">
        <v>59</v>
      </c>
      <c r="F12" s="6" t="s">
        <v>59</v>
      </c>
      <c r="G12" s="6" t="s">
        <v>59</v>
      </c>
      <c r="H12" s="6" t="s">
        <v>59</v>
      </c>
      <c r="I12" s="6" t="s">
        <v>932</v>
      </c>
      <c r="J12" s="6" t="s">
        <v>933</v>
      </c>
      <c r="K12" s="6" t="s">
        <v>933</v>
      </c>
      <c r="L12" s="5" t="s">
        <v>953</v>
      </c>
    </row>
    <row r="13" ht="22" customHeight="1" spans="1:12">
      <c r="A13" s="5" t="s">
        <v>954</v>
      </c>
      <c r="B13" s="5" t="s">
        <v>83</v>
      </c>
      <c r="C13" s="6" t="s">
        <v>59</v>
      </c>
      <c r="D13" s="6" t="s">
        <v>59</v>
      </c>
      <c r="E13" s="6" t="s">
        <v>59</v>
      </c>
      <c r="F13" s="6" t="s">
        <v>59</v>
      </c>
      <c r="G13" s="6" t="s">
        <v>59</v>
      </c>
      <c r="H13" s="6" t="s">
        <v>59</v>
      </c>
      <c r="I13" s="6" t="s">
        <v>932</v>
      </c>
      <c r="J13" s="6" t="s">
        <v>933</v>
      </c>
      <c r="K13" s="6" t="s">
        <v>933</v>
      </c>
      <c r="L13" s="5" t="s">
        <v>955</v>
      </c>
    </row>
    <row r="14" ht="22" customHeight="1" spans="1:12">
      <c r="A14" s="5" t="s">
        <v>956</v>
      </c>
      <c r="B14" s="5" t="s">
        <v>83</v>
      </c>
      <c r="C14" s="6" t="s">
        <v>59</v>
      </c>
      <c r="D14" s="6" t="s">
        <v>59</v>
      </c>
      <c r="E14" s="6" t="s">
        <v>59</v>
      </c>
      <c r="F14" s="6" t="s">
        <v>59</v>
      </c>
      <c r="G14" s="6" t="s">
        <v>59</v>
      </c>
      <c r="H14" s="6" t="s">
        <v>59</v>
      </c>
      <c r="I14" s="6" t="s">
        <v>932</v>
      </c>
      <c r="J14" s="6" t="s">
        <v>932</v>
      </c>
      <c r="K14" s="6" t="s">
        <v>59</v>
      </c>
      <c r="L14" s="5" t="s">
        <v>957</v>
      </c>
    </row>
    <row r="15" ht="22" customHeight="1" spans="1:12">
      <c r="A15" s="5" t="s">
        <v>958</v>
      </c>
      <c r="B15" s="5" t="s">
        <v>83</v>
      </c>
      <c r="C15" s="6" t="s">
        <v>59</v>
      </c>
      <c r="D15" s="6" t="s">
        <v>59</v>
      </c>
      <c r="E15" s="6" t="s">
        <v>59</v>
      </c>
      <c r="F15" s="6" t="s">
        <v>59</v>
      </c>
      <c r="G15" s="6" t="s">
        <v>59</v>
      </c>
      <c r="H15" s="6" t="s">
        <v>59</v>
      </c>
      <c r="I15" s="6" t="s">
        <v>59</v>
      </c>
      <c r="J15" s="6" t="s">
        <v>932</v>
      </c>
      <c r="K15" s="6" t="s">
        <v>59</v>
      </c>
      <c r="L15" s="5" t="s">
        <v>959</v>
      </c>
    </row>
    <row r="16" ht="22" customHeight="1" spans="1:12">
      <c r="A16" s="5" t="s">
        <v>960</v>
      </c>
      <c r="B16" s="5" t="s">
        <v>327</v>
      </c>
      <c r="C16" s="6" t="s">
        <v>933</v>
      </c>
      <c r="D16" s="6" t="s">
        <v>933</v>
      </c>
      <c r="E16" s="6" t="s">
        <v>933</v>
      </c>
      <c r="F16" s="6" t="s">
        <v>59</v>
      </c>
      <c r="G16" s="6" t="s">
        <v>933</v>
      </c>
      <c r="H16" s="6" t="s">
        <v>933</v>
      </c>
      <c r="I16" s="6" t="s">
        <v>932</v>
      </c>
      <c r="J16" s="6" t="s">
        <v>932</v>
      </c>
      <c r="K16" s="6" t="s">
        <v>932</v>
      </c>
      <c r="L16" s="5" t="s">
        <v>961</v>
      </c>
    </row>
    <row r="17" ht="22" customHeight="1" spans="1:12">
      <c r="A17" s="5" t="s">
        <v>81</v>
      </c>
      <c r="B17" s="5" t="s">
        <v>83</v>
      </c>
      <c r="C17" s="6" t="s">
        <v>933</v>
      </c>
      <c r="D17" s="6" t="s">
        <v>59</v>
      </c>
      <c r="E17" s="6" t="s">
        <v>933</v>
      </c>
      <c r="F17" s="6" t="s">
        <v>59</v>
      </c>
      <c r="G17" s="6" t="s">
        <v>59</v>
      </c>
      <c r="H17" s="6" t="s">
        <v>59</v>
      </c>
      <c r="I17" s="6" t="s">
        <v>932</v>
      </c>
      <c r="J17" s="6" t="s">
        <v>932</v>
      </c>
      <c r="K17" s="6" t="s">
        <v>932</v>
      </c>
      <c r="L17" s="5" t="s">
        <v>962</v>
      </c>
    </row>
    <row r="18" ht="22" customHeight="1" spans="1:12">
      <c r="A18" s="5" t="s">
        <v>963</v>
      </c>
      <c r="B18" s="5" t="s">
        <v>83</v>
      </c>
      <c r="C18" s="6" t="s">
        <v>933</v>
      </c>
      <c r="D18" s="6" t="s">
        <v>59</v>
      </c>
      <c r="E18" s="6" t="s">
        <v>59</v>
      </c>
      <c r="F18" s="6" t="s">
        <v>59</v>
      </c>
      <c r="G18" s="6" t="s">
        <v>933</v>
      </c>
      <c r="H18" s="6" t="s">
        <v>933</v>
      </c>
      <c r="I18" s="6" t="s">
        <v>933</v>
      </c>
      <c r="J18" s="6" t="s">
        <v>933</v>
      </c>
      <c r="K18" s="6" t="s">
        <v>933</v>
      </c>
      <c r="L18" s="5" t="s">
        <v>964</v>
      </c>
    </row>
    <row r="20" spans="1:12">
      <c r="A20" s="7" t="s">
        <v>965</v>
      </c>
      <c r="B20" s="8" t="s">
        <v>932</v>
      </c>
      <c r="C20" s="9" t="s">
        <v>966</v>
      </c>
      <c r="D20" s="10"/>
      <c r="E20" s="10"/>
      <c r="F20" s="10"/>
    </row>
    <row r="21" spans="1:12">
      <c r="A21" s="7" t="s">
        <v>967</v>
      </c>
      <c r="B21" s="11" t="s">
        <v>933</v>
      </c>
      <c r="C21" s="9" t="s">
        <v>968</v>
      </c>
      <c r="D21" s="10"/>
      <c r="E21" s="10"/>
      <c r="F21" s="10"/>
    </row>
  </sheetData>
  <autoFilter xmlns:etc="http://www.wps.cn/officeDocument/2017/etCustomData" ref="A1:L18" etc:filterBottomFollowUsedRange="0">
    <extLst/>
  </autoFilter>
  <mergeCells count="2">
    <mergeCell ref="C20:F20"/>
    <mergeCell ref="C21:F21"/>
  </mergeCells>
  <conditionalFormatting sqref="C2:K18">
    <cfRule type="cellIs" dxfId="0" priority="1" operator="equal">
      <formula>"强制"</formula>
    </cfRule>
    <cfRule type="cellIs" dxfId="2" priority="2" operator="equal">
      <formula>"建议"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6A6A6"/>
  </sheetPr>
  <dimension ref="A1:B33"/>
  <sheetViews>
    <sheetView showGridLines="0" workbookViewId="0">
      <selection activeCell="A1" sqref="A1:B1"/>
    </sheetView>
  </sheetViews>
  <sheetFormatPr defaultColWidth="9" defaultRowHeight="16.8" outlineLevelCol="1"/>
  <cols>
    <col min="1" max="1" width="22" customWidth="1"/>
    <col min="2" max="2" width="104" customWidth="1"/>
  </cols>
  <sheetData>
    <row r="1" ht="34" customHeight="1" spans="1:1">
      <c r="A1" s="1" t="s">
        <v>969</v>
      </c>
    </row>
    <row r="2" ht="26" customHeight="1" spans="1:1">
      <c r="A2" s="2" t="s">
        <v>970</v>
      </c>
    </row>
    <row r="3" ht="58" customHeight="1" spans="1:1">
      <c r="A3" s="3" t="s">
        <v>971</v>
      </c>
    </row>
    <row r="5" ht="26" customHeight="1" spans="1:1">
      <c r="A5" s="2" t="s">
        <v>972</v>
      </c>
    </row>
    <row r="6" ht="26" customHeight="1" spans="1:1">
      <c r="A6" s="3" t="s">
        <v>973</v>
      </c>
    </row>
    <row r="7" ht="42" customHeight="1" spans="1:1">
      <c r="A7" s="3" t="s">
        <v>974</v>
      </c>
    </row>
    <row r="8" ht="42" customHeight="1" spans="1:1">
      <c r="A8" s="3" t="s">
        <v>975</v>
      </c>
    </row>
    <row r="9" ht="26" customHeight="1" spans="1:1">
      <c r="A9" s="3" t="s">
        <v>976</v>
      </c>
    </row>
    <row r="10" ht="26" customHeight="1" spans="1:1">
      <c r="A10" s="3" t="s">
        <v>977</v>
      </c>
    </row>
    <row r="11" ht="58" customHeight="1" spans="1:1">
      <c r="A11" s="3" t="s">
        <v>978</v>
      </c>
    </row>
    <row r="13" ht="26" customHeight="1" spans="1:1">
      <c r="A13" s="2" t="s">
        <v>979</v>
      </c>
    </row>
    <row r="14" ht="26" customHeight="1" spans="1:1">
      <c r="A14" s="3" t="s">
        <v>980</v>
      </c>
    </row>
    <row r="15" ht="42" customHeight="1" spans="1:1">
      <c r="A15" s="3" t="s">
        <v>981</v>
      </c>
    </row>
    <row r="16" ht="26" customHeight="1" spans="1:1">
      <c r="A16" s="3" t="s">
        <v>982</v>
      </c>
    </row>
    <row r="17" ht="26" customHeight="1" spans="1:1">
      <c r="A17" s="3" t="s">
        <v>983</v>
      </c>
    </row>
    <row r="18" ht="26" customHeight="1" spans="1:1">
      <c r="A18" s="3" t="s">
        <v>984</v>
      </c>
    </row>
    <row r="20" ht="26" customHeight="1" spans="1:1">
      <c r="A20" s="2" t="s">
        <v>985</v>
      </c>
    </row>
    <row r="21" ht="58" customHeight="1" spans="1:1">
      <c r="A21" s="3" t="s">
        <v>986</v>
      </c>
    </row>
    <row r="22" ht="42" customHeight="1" spans="1:1">
      <c r="A22" s="3" t="s">
        <v>987</v>
      </c>
    </row>
    <row r="23" ht="42" customHeight="1" spans="1:1">
      <c r="A23" s="3" t="s">
        <v>988</v>
      </c>
    </row>
    <row r="25" ht="26" customHeight="1" spans="1:1">
      <c r="A25" s="2" t="s">
        <v>989</v>
      </c>
    </row>
    <row r="26" ht="74" customHeight="1" spans="1:1">
      <c r="A26" s="3" t="s">
        <v>990</v>
      </c>
    </row>
    <row r="27" ht="58" customHeight="1" spans="1:1">
      <c r="A27" s="3" t="s">
        <v>991</v>
      </c>
    </row>
    <row r="29" ht="26" customHeight="1" spans="1:1">
      <c r="A29" s="2" t="s">
        <v>992</v>
      </c>
    </row>
    <row r="30" ht="42" customHeight="1" spans="1:1">
      <c r="A30" s="3" t="s">
        <v>993</v>
      </c>
    </row>
    <row r="31" ht="42" customHeight="1" spans="1:1">
      <c r="A31" s="3" t="s">
        <v>994</v>
      </c>
    </row>
    <row r="32" ht="26" customHeight="1" spans="1:1">
      <c r="A32" s="3" t="s">
        <v>995</v>
      </c>
    </row>
    <row r="33" ht="42" customHeight="1" spans="1:1">
      <c r="A33" s="3" t="s">
        <v>996</v>
      </c>
    </row>
  </sheetData>
  <mergeCells count="28">
    <mergeCell ref="A1:B1"/>
    <mergeCell ref="A2:B2"/>
    <mergeCell ref="A3:B3"/>
    <mergeCell ref="A5:B5"/>
    <mergeCell ref="A6:B6"/>
    <mergeCell ref="A7:B7"/>
    <mergeCell ref="A8:B8"/>
    <mergeCell ref="A9:B9"/>
    <mergeCell ref="A10:B10"/>
    <mergeCell ref="A11:B11"/>
    <mergeCell ref="A13:B13"/>
    <mergeCell ref="A14:B14"/>
    <mergeCell ref="A15:B15"/>
    <mergeCell ref="A16:B16"/>
    <mergeCell ref="A17:B17"/>
    <mergeCell ref="A18:B18"/>
    <mergeCell ref="A20:B20"/>
    <mergeCell ref="A21:B21"/>
    <mergeCell ref="A22:B22"/>
    <mergeCell ref="A23:B23"/>
    <mergeCell ref="A25:B25"/>
    <mergeCell ref="A26:B26"/>
    <mergeCell ref="A27:B27"/>
    <mergeCell ref="A29:B29"/>
    <mergeCell ref="A30:B30"/>
    <mergeCell ref="A31:B31"/>
    <mergeCell ref="A32:B32"/>
    <mergeCell ref="A33:B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总览统计</vt:lpstr>
      <vt:lpstr>资料上传总清单</vt:lpstr>
      <vt:lpstr>产品字段清单</vt:lpstr>
      <vt:lpstr>类目合规矩阵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供应商端资料上传与维护清单</dc:title>
  <dc:creator>openpyxl</dc:creator>
  <cp:lastModifiedBy>V</cp:lastModifiedBy>
  <dcterms:created xsi:type="dcterms:W3CDTF">2026-10-21T14:52:00Z</dcterms:created>
  <dcterms:modified xsi:type="dcterms:W3CDTF">2026-10-21T15:03:36Z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{"Label":"1","ContentProducer":"00119111010856365494821B355","ProduceID":"c3e0b49f6bac49b58dde26d622bb0f67","ContentPropagator":"00119111010856365494821B355","PropagateID":"c3e0b49f6bac49b58dde26d622bb0f67"}</vt:lpwstr>
  </property>
  <property fmtid="{D5CDD505-2E9C-101B-9397-08002B2CF9AE}" pid="3" name="ICV">
    <vt:lpwstr>9A72B3C8DEF5673FC863D86ABE509FC1_42</vt:lpwstr>
  </property>
  <property fmtid="{D5CDD505-2E9C-101B-9397-08002B2CF9AE}" pid="4" name="KSOProductBuildVer">
    <vt:lpwstr>2052-12.1.28496.28496</vt:lpwstr>
  </property>
  <property fmtid="{D5CDD505-2E9C-101B-9397-08002B2CF9AE}" pid="5" name="CalculationRule">
    <vt:i4>0</vt:i4>
  </property>
</Properties>
</file>